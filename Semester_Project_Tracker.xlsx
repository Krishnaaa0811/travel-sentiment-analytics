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AI-Powered Travel Sentiment and Trend Analytics Platform project\"/>
    </mc:Choice>
  </mc:AlternateContent>
  <xr:revisionPtr revIDLastSave="0" documentId="13_ncr:1_{16ECE90E-79E4-41A8-9D5D-941525E297AC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1_Dashboard" sheetId="1" r:id="rId1"/>
    <sheet name="2_Roadmap" sheetId="2" r:id="rId2"/>
    <sheet name="3_Daily_Log" sheetId="3" r:id="rId3"/>
    <sheet name="4_Weekly_Sprints" sheetId="4" r:id="rId4"/>
    <sheet name="5_Skills_Tracker" sheetId="5" r:id="rId5"/>
    <sheet name="6_Datasets_APIs" sheetId="6" r:id="rId6"/>
    <sheet name="7_Bug_Tracker" sheetId="7" r:id="rId7"/>
    <sheet name="8_GitHub_Tracker" sheetId="8" r:id="rId8"/>
    <sheet name="9_Analytic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9" l="1"/>
  <c r="D20" i="9"/>
  <c r="D18" i="9"/>
  <c r="D17" i="9"/>
  <c r="D16" i="9"/>
  <c r="D15" i="9"/>
  <c r="D14" i="9"/>
  <c r="D11" i="9"/>
  <c r="B31" i="9"/>
  <c r="A31" i="9"/>
  <c r="B30" i="9"/>
  <c r="A30" i="9"/>
  <c r="B29" i="9"/>
  <c r="A29" i="9"/>
  <c r="B28" i="9"/>
  <c r="A28" i="9"/>
  <c r="B27" i="9"/>
  <c r="A27" i="9"/>
  <c r="B26" i="9"/>
  <c r="A26" i="9"/>
  <c r="A25" i="9"/>
  <c r="B24" i="9"/>
  <c r="A24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F14" i="5"/>
  <c r="F13" i="5"/>
  <c r="F12" i="5"/>
  <c r="F11" i="5"/>
  <c r="F10" i="5"/>
  <c r="F9" i="5"/>
  <c r="F8" i="5"/>
  <c r="F7" i="5"/>
  <c r="F6" i="5"/>
  <c r="F5" i="5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13" i="2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C14" i="1"/>
  <c r="C13" i="1"/>
  <c r="C12" i="1"/>
  <c r="I11" i="1"/>
  <c r="F11" i="1"/>
  <c r="C11" i="1"/>
  <c r="I8" i="1"/>
  <c r="B17" i="9" l="1"/>
  <c r="B21" i="9"/>
  <c r="B20" i="9"/>
  <c r="B19" i="9"/>
  <c r="B18" i="9"/>
  <c r="B16" i="9"/>
  <c r="B15" i="9"/>
  <c r="B14" i="9"/>
  <c r="B13" i="9"/>
  <c r="B12" i="9"/>
  <c r="B11" i="9"/>
  <c r="B10" i="9"/>
  <c r="B9" i="9"/>
  <c r="B8" i="9"/>
  <c r="B7" i="9"/>
  <c r="B5" i="9"/>
</calcChain>
</file>

<file path=xl/sharedStrings.xml><?xml version="1.0" encoding="utf-8"?>
<sst xmlns="http://schemas.openxmlformats.org/spreadsheetml/2006/main" count="227" uniqueCount="149">
  <si>
    <t xml:space="preserve">  📊  SEMESTER PROJECT TRACKER</t>
  </si>
  <si>
    <t xml:space="preserve">  AI-Powered Travel Sentiment &amp; Trend Analytics Platform</t>
  </si>
  <si>
    <t>PROJECT INFO</t>
  </si>
  <si>
    <t>AT A GLANCE</t>
  </si>
  <si>
    <t>Project Name</t>
  </si>
  <si>
    <t>AI-Powered Travel Sentiment &amp; Trend Analytics Platform</t>
  </si>
  <si>
    <t>TASKS DONE</t>
  </si>
  <si>
    <t>TOTAL HOURS LOGGED</t>
  </si>
  <si>
    <t>Semester</t>
  </si>
  <si>
    <t>7th Semester</t>
  </si>
  <si>
    <t>Start Date</t>
  </si>
  <si>
    <t>Target End Date</t>
  </si>
  <si>
    <t>OPEN BUGS</t>
  </si>
  <si>
    <t>TASKS LOGGED</t>
  </si>
  <si>
    <t>Today's Date</t>
  </si>
  <si>
    <t>Days Remaining</t>
  </si>
  <si>
    <t>Current Phase</t>
  </si>
  <si>
    <t>Overall Progress</t>
  </si>
  <si>
    <t>PHASE PROGRESS</t>
  </si>
  <si>
    <t>MOTIVATION</t>
  </si>
  <si>
    <t>Phase</t>
  </si>
  <si>
    <t>Status</t>
  </si>
  <si>
    <t>Progress</t>
  </si>
  <si>
    <t>"The secret of getting ahead is getting started." — Mark Twain
Focus on consistency, not perfection.
One task at a time, one commit at a time.</t>
  </si>
  <si>
    <t>ANALYTICS SNAPSHOT  (see 8_Analytics tab for full detail)</t>
  </si>
  <si>
    <t xml:space="preserve">  🗺️  MASTER ROADMAP</t>
  </si>
  <si>
    <t xml:space="preserve">  Break the semester into phases. Update Status — Progress % and the Dashboard update automatically.</t>
  </si>
  <si>
    <t>End Date</t>
  </si>
  <si>
    <t>Progress %</t>
  </si>
  <si>
    <t>Notes</t>
  </si>
  <si>
    <t>Research &amp; Planning</t>
  </si>
  <si>
    <t>21 Jun 2026</t>
  </si>
  <si>
    <t>30 Jun 2026</t>
  </si>
  <si>
    <t>In Progress</t>
  </si>
  <si>
    <t>Dataset Collection</t>
  </si>
  <si>
    <t>01 Jul 2026</t>
  </si>
  <si>
    <t>15 Jul 2026</t>
  </si>
  <si>
    <t>Not Started</t>
  </si>
  <si>
    <t>Data Cleaning &amp; Preprocessing</t>
  </si>
  <si>
    <t>16 Jul 2026</t>
  </si>
  <si>
    <t>31 Jul 2026</t>
  </si>
  <si>
    <t>NLP Sentiment Analysis</t>
  </si>
  <si>
    <t>01 Aug 2026</t>
  </si>
  <si>
    <t>20 Aug 2026</t>
  </si>
  <si>
    <t>Model Training &amp; Evaluation</t>
  </si>
  <si>
    <t>21 Aug 2026</t>
  </si>
  <si>
    <t>10 Sep 2026</t>
  </si>
  <si>
    <t>Dashboard / App Development</t>
  </si>
  <si>
    <t>11 Sep 2026</t>
  </si>
  <si>
    <t>30 Sep 2026</t>
  </si>
  <si>
    <t>Testing &amp; Documentation</t>
  </si>
  <si>
    <t>01 Oct 2026</t>
  </si>
  <si>
    <t>12 Oct 2026</t>
  </si>
  <si>
    <t>Final PPT &amp; Viva Prep</t>
  </si>
  <si>
    <t>13 Oct 2026</t>
  </si>
  <si>
    <t>21 Oct 2026</t>
  </si>
  <si>
    <t>OVERALL</t>
  </si>
  <si>
    <t xml:space="preserve">  📝  DAILY WORK LOG</t>
  </si>
  <si>
    <t xml:space="preserve">  Log every work session here. This sheet powers your Dashboard, Weekly Sprints, and Analytics.</t>
  </si>
  <si>
    <t>Date</t>
  </si>
  <si>
    <t>Task</t>
  </si>
  <si>
    <t>Category</t>
  </si>
  <si>
    <t>Hours</t>
  </si>
  <si>
    <t>Difficulty</t>
  </si>
  <si>
    <t>Coding</t>
  </si>
  <si>
    <t>Done</t>
  </si>
  <si>
    <t>Research</t>
  </si>
  <si>
    <t>Easy</t>
  </si>
  <si>
    <t>GitHub</t>
  </si>
  <si>
    <t xml:space="preserve">  🏁  WEEKLY SPRINT TRACKER</t>
  </si>
  <si>
    <t xml:space="preserve">  Set a goal each week, then check real progress. Hours Logged pulls automatically from Daily Log.</t>
  </si>
  <si>
    <t>Week #</t>
  </si>
  <si>
    <t>Weekly Goal</t>
  </si>
  <si>
    <t>Hours Logged</t>
  </si>
  <si>
    <t>Completion %</t>
  </si>
  <si>
    <t>Reflection / Notes</t>
  </si>
  <si>
    <t>Set up project structure, repo, and tracker</t>
  </si>
  <si>
    <t xml:space="preserve">  🎯  SKILLS PROGRESS TRACKER</t>
  </si>
  <si>
    <t xml:space="preserve">  Track how each skill is growing across the semester.</t>
  </si>
  <si>
    <t>Skill</t>
  </si>
  <si>
    <t>Level Before</t>
  </si>
  <si>
    <t>Current Level</t>
  </si>
  <si>
    <t>Target Level</t>
  </si>
  <si>
    <t>Python</t>
  </si>
  <si>
    <t>Intermediate</t>
  </si>
  <si>
    <t>Advanced</t>
  </si>
  <si>
    <t>Pandas / NumPy</t>
  </si>
  <si>
    <t>Beginner</t>
  </si>
  <si>
    <t>NLP (NLTK/spaCy/Transformers)</t>
  </si>
  <si>
    <t>REST APIs / Web Scraping</t>
  </si>
  <si>
    <t>Machine Learning</t>
  </si>
  <si>
    <t>Streamlit / Dashboarding</t>
  </si>
  <si>
    <t>Power BI / Data Viz</t>
  </si>
  <si>
    <t>Git / GitHub</t>
  </si>
  <si>
    <t>SQL</t>
  </si>
  <si>
    <t>Technical Writing / Docs</t>
  </si>
  <si>
    <t xml:space="preserve">  🗂️  DATASETS &amp; APIs TRACKER</t>
  </si>
  <si>
    <t xml:space="preserve">  Keep track of every data source — what it is, its status, and where it stands.</t>
  </si>
  <si>
    <t>Source</t>
  </si>
  <si>
    <t>Type</t>
  </si>
  <si>
    <t>Records / Size</t>
  </si>
  <si>
    <t>Date Added</t>
  </si>
  <si>
    <t>Testing</t>
  </si>
  <si>
    <t xml:space="preserve">  🐞  BUG &amp; ERROR TRACKER</t>
  </si>
  <si>
    <t xml:space="preserve">  Every error you hit, logged. Future-you will thank present-you.</t>
  </si>
  <si>
    <t>Error</t>
  </si>
  <si>
    <t>Cause</t>
  </si>
  <si>
    <t>Solution</t>
  </si>
  <si>
    <t xml:space="preserve">  💻  GITHUB TRACKER</t>
  </si>
  <si>
    <t xml:space="preserve">  Log commits and milestones. Keeps your repo history meaningful for your final report.</t>
  </si>
  <si>
    <t>Commit Message</t>
  </si>
  <si>
    <t>Branch</t>
  </si>
  <si>
    <t>Milestone</t>
  </si>
  <si>
    <t xml:space="preserve">  📈  ANALYTICS DASHBOARD</t>
  </si>
  <si>
    <t xml:space="preserve">  Auto-generated from your Daily Log and Roadmap. Nothing to fill in here — just watch it update.</t>
  </si>
  <si>
    <t>HOURS LOGGED PER WEEK</t>
  </si>
  <si>
    <t>Week</t>
  </si>
  <si>
    <t>Blocked</t>
  </si>
  <si>
    <t>HOURS BY CATEGORY</t>
  </si>
  <si>
    <t>Data Collection</t>
  </si>
  <si>
    <t>Data Cleaning</t>
  </si>
  <si>
    <t>NLP/ML</t>
  </si>
  <si>
    <t>Dashboard/App</t>
  </si>
  <si>
    <t>Documentation</t>
  </si>
  <si>
    <t>Meeting/Review</t>
  </si>
  <si>
    <t>Other</t>
  </si>
  <si>
    <t>PHASE PROGRESS %</t>
  </si>
  <si>
    <t>TASK  STATUS  BREAKDOWN (WITH  COUNT)</t>
  </si>
  <si>
    <t>done</t>
  </si>
  <si>
    <t>Discussed project idea and finalized concept</t>
  </si>
  <si>
    <t>Reviewed 9-day work plan (Week 1 PDF)</t>
  </si>
  <si>
    <t>Understood Day 1–9 tasks for June 22–30</t>
  </si>
  <si>
    <t>Decided folder structure and created it on E: drive</t>
  </si>
  <si>
    <t>data/raw, data/cleaned, notebooks/, src/preprocessing/, src/utils/</t>
  </si>
  <si>
    <t>Created 3 starter files</t>
  </si>
  <si>
    <t>requirements.txt, .gitignore, README.md</t>
  </si>
  <si>
    <t>Installed Git and configured identity</t>
  </si>
  <si>
    <t>Name: Krishna, email: krishnagondaliya034@gmail.com</t>
  </si>
  <si>
    <t>Created GitHub repo and connected local project</t>
  </si>
  <si>
    <t>Github</t>
  </si>
  <si>
    <t>Medium</t>
  </si>
  <si>
    <t>github.com/Krishnaaa0811/travel-sentiment-analytics</t>
  </si>
  <si>
    <t>Made first commit and pushed to GitHub</t>
  </si>
  <si>
    <t>Commit: "Initial project structure with folders, README, gitignore"</t>
  </si>
  <si>
    <t>Created Practice folder separately</t>
  </si>
  <si>
    <t>E:\Practice\01_python_basics\ — outside main repo</t>
  </si>
  <si>
    <t>Initial project structure with folders, README, gitignore, and requirements</t>
  </si>
  <si>
    <t>Main</t>
  </si>
  <si>
    <t>First ever commit — repo live at github.com/Krishnaaa0811/travel-sentiment-analytics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</si>
</sst>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 mmm\ yyyy"/>
    <numFmt numFmtId="165" formatCode="0&quot; days&quot;"/>
    <numFmt numFmtId="166" formatCode="dd\ mmm"/>
    <numFmt numFmtId="167" formatCode="0.0&quot; h&quot;"/>
    <numFmt numFmtId="168" formatCode="0.0"/>
  </numFmts>
  <fonts count="36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10"/>
      <color rgb="FF8A8A99"/>
      <name val="Calibri"/>
      <charset val="1"/>
    </font>
    <font>
      <b/>
      <sz val="11"/>
      <color rgb="FF1F2A44"/>
      <name val="Calibri"/>
      <charset val="1"/>
    </font>
    <font>
      <b/>
      <sz val="10"/>
      <color rgb="FF2B2B33"/>
      <name val="Calibri"/>
      <charset val="1"/>
    </font>
    <font>
      <sz val="10"/>
      <color rgb="FF2B2B33"/>
      <name val="Calibri"/>
      <charset val="1"/>
    </font>
    <font>
      <b/>
      <sz val="10"/>
      <color rgb="FF1F2A44"/>
      <name val="Calibri"/>
      <charset val="1"/>
    </font>
    <font>
      <b/>
      <sz val="10"/>
      <color rgb="FF5E9A5E"/>
      <name val="Calibri"/>
      <charset val="1"/>
    </font>
    <font>
      <b/>
      <sz val="24"/>
      <color rgb="FF1F2A44"/>
      <name val="Calibri"/>
      <charset val="1"/>
    </font>
    <font>
      <b/>
      <sz val="24"/>
      <color rgb="FF5E9A5E"/>
      <name val="Calibri"/>
      <charset val="1"/>
    </font>
    <font>
      <b/>
      <sz val="10"/>
      <color rgb="FFC97A8C"/>
      <name val="Calibri"/>
      <charset val="1"/>
    </font>
    <font>
      <b/>
      <sz val="10"/>
      <color rgb="FFE08E5B"/>
      <name val="Calibri"/>
      <charset val="1"/>
    </font>
    <font>
      <b/>
      <sz val="24"/>
      <color rgb="FFC97A8C"/>
      <name val="Calibri"/>
      <charset val="1"/>
    </font>
    <font>
      <b/>
      <sz val="24"/>
      <color rgb="FFE08E5B"/>
      <name val="Calibri"/>
      <charset val="1"/>
    </font>
    <font>
      <b/>
      <sz val="10"/>
      <color rgb="FF2E8B8B"/>
      <name val="Calibri"/>
      <charset val="1"/>
    </font>
    <font>
      <b/>
      <sz val="13"/>
      <color rgb="FF2E8B8B"/>
      <name val="Calibri"/>
      <charset val="1"/>
    </font>
    <font>
      <b/>
      <sz val="9"/>
      <color rgb="FFFFFFFF"/>
      <name val="Calibri"/>
      <charset val="1"/>
    </font>
    <font>
      <i/>
      <sz val="11"/>
      <color rgb="FF1F2A44"/>
      <name val="Calibri"/>
      <charset val="1"/>
    </font>
    <font>
      <sz val="9"/>
      <color rgb="FF2B2B33"/>
      <name val="Calibri"/>
      <charset val="1"/>
    </font>
    <font>
      <b/>
      <sz val="18"/>
      <color rgb="FFFFFFFF"/>
      <name val="Calibri"/>
      <charset val="1"/>
    </font>
    <font>
      <b/>
      <sz val="10"/>
      <color rgb="FFFFFFFF"/>
      <name val="Calibri"/>
      <charset val="1"/>
    </font>
    <font>
      <b/>
      <sz val="12"/>
      <color rgb="FF2E8B8B"/>
      <name val="Calibri"/>
      <charset val="1"/>
    </font>
    <font>
      <i/>
      <sz val="28"/>
      <color rgb="FF8A8A99"/>
      <name val="Calibri"/>
      <family val="2"/>
    </font>
    <font>
      <sz val="28"/>
      <color theme="1"/>
      <name val="Calibri"/>
      <family val="2"/>
    </font>
    <font>
      <b/>
      <sz val="72"/>
      <color rgb="FFFFFFFF"/>
      <name val="Calibri"/>
      <family val="2"/>
    </font>
    <font>
      <sz val="72"/>
      <color theme="1"/>
      <name val="Calibri"/>
      <family val="2"/>
    </font>
    <font>
      <sz val="20"/>
      <color theme="1"/>
      <name val="Calibri"/>
      <family val="2"/>
    </font>
    <font>
      <b/>
      <sz val="24"/>
      <color rgb="FFFFFFFF"/>
      <name val="Calibri"/>
      <family val="2"/>
    </font>
    <font>
      <sz val="24"/>
      <color theme="1"/>
      <name val="Calibri"/>
      <family val="2"/>
    </font>
    <font>
      <sz val="20"/>
      <color rgb="FF2B2B33"/>
      <name val="Calibri"/>
      <family val="2"/>
    </font>
    <font>
      <b/>
      <sz val="20"/>
      <color rgb="FFFFFFFF"/>
      <name val="Calibri"/>
      <family val="2"/>
    </font>
    <font>
      <b/>
      <sz val="24"/>
      <color theme="0"/>
      <name val="Calibri"/>
      <family val="2"/>
    </font>
    <font>
      <b/>
      <sz val="36"/>
      <color rgb="FF1F2A44"/>
      <name val="Calibri"/>
      <family val="2"/>
    </font>
    <font>
      <b/>
      <sz val="26"/>
      <color rgb="FFFFFFFF"/>
      <name val="Calibri"/>
      <family val="2"/>
    </font>
    <font>
      <sz val="26"/>
      <color rgb="FF2B2B33"/>
      <name val="Calibri"/>
      <family val="2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A44"/>
        <bgColor rgb="FF2B2B33"/>
      </patternFill>
    </fill>
    <fill>
      <patternFill patternType="solid">
        <fgColor rgb="FFEDE9F7"/>
        <bgColor rgb="FFF6E3E8"/>
      </patternFill>
    </fill>
    <fill>
      <patternFill patternType="solid">
        <fgColor rgb="FFF7F7F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CEEEE"/>
        <bgColor rgb="FFE3EEE3"/>
      </patternFill>
    </fill>
    <fill>
      <patternFill patternType="solid">
        <fgColor rgb="FFE3EEE3"/>
        <bgColor rgb="FFDCEEEE"/>
      </patternFill>
    </fill>
    <fill>
      <patternFill patternType="solid">
        <fgColor rgb="FFF6E3E8"/>
        <bgColor rgb="FFFBE8DD"/>
      </patternFill>
    </fill>
    <fill>
      <patternFill patternType="solid">
        <fgColor rgb="FFFBE8DD"/>
        <bgColor rgb="FFF6E3E8"/>
      </patternFill>
    </fill>
    <fill>
      <patternFill patternType="solid">
        <fgColor rgb="FF33415F"/>
        <bgColor rgb="FF1F2A44"/>
      </patternFill>
    </fill>
    <fill>
      <patternFill patternType="solid">
        <fgColor theme="3" tint="-0.249977111117893"/>
        <bgColor rgb="FFF6E3E8"/>
      </patternFill>
    </fill>
  </fills>
  <borders count="2">
    <border>
      <left/>
      <right/>
      <top/>
      <bottom/>
      <diagonal/>
    </border>
    <border>
      <left style="thin">
        <color rgb="FFE2E2EA"/>
      </left>
      <right style="thin">
        <color rgb="FFE2E2EA"/>
      </right>
      <top style="thin">
        <color rgb="FFE2E2EA"/>
      </top>
      <bottom style="thin">
        <color rgb="FFE2E2EA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4" fillId="4" borderId="1" xfId="0" applyFont="1" applyFill="1" applyBorder="1"/>
    <xf numFmtId="0" fontId="16" fillId="10" borderId="0" xfId="0" applyFont="1" applyFill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indent="1"/>
    </xf>
    <xf numFmtId="0" fontId="18" fillId="5" borderId="1" xfId="0" applyFont="1" applyFill="1" applyBorder="1" applyAlignment="1">
      <alignment horizontal="center"/>
    </xf>
    <xf numFmtId="9" fontId="18" fillId="5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left" vertical="center" indent="1"/>
    </xf>
    <xf numFmtId="0" fontId="18" fillId="4" borderId="1" xfId="0" applyFont="1" applyFill="1" applyBorder="1" applyAlignment="1">
      <alignment horizontal="center"/>
    </xf>
    <xf numFmtId="9" fontId="18" fillId="4" borderId="1" xfId="0" applyNumberFormat="1" applyFont="1" applyFill="1" applyBorder="1" applyAlignment="1">
      <alignment horizontal="center"/>
    </xf>
    <xf numFmtId="0" fontId="20" fillId="10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/>
    </xf>
    <xf numFmtId="9" fontId="5" fillId="4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 indent="1"/>
    </xf>
    <xf numFmtId="0" fontId="0" fillId="3" borderId="1" xfId="0" applyFill="1" applyBorder="1" applyAlignment="1">
      <alignment horizontal="center"/>
    </xf>
    <xf numFmtId="9" fontId="21" fillId="3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left" vertical="center" indent="1"/>
    </xf>
    <xf numFmtId="166" fontId="5" fillId="5" borderId="1" xfId="0" applyNumberFormat="1" applyFont="1" applyFill="1" applyBorder="1" applyAlignment="1">
      <alignment horizontal="left" vertical="center" indent="1"/>
    </xf>
    <xf numFmtId="167" fontId="5" fillId="5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left" vertical="center" indent="1"/>
    </xf>
    <xf numFmtId="167" fontId="5" fillId="4" borderId="1" xfId="0" applyNumberFormat="1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24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/>
    </xf>
    <xf numFmtId="0" fontId="26" fillId="0" borderId="0" xfId="0" applyFont="1"/>
    <xf numFmtId="0" fontId="27" fillId="10" borderId="0" xfId="0" applyFont="1" applyFill="1" applyAlignment="1">
      <alignment horizontal="center" vertical="center" wrapText="1"/>
    </xf>
    <xf numFmtId="0" fontId="28" fillId="0" borderId="0" xfId="0" applyFont="1"/>
    <xf numFmtId="0" fontId="29" fillId="5" borderId="1" xfId="0" applyFont="1" applyFill="1" applyBorder="1" applyAlignment="1">
      <alignment horizontal="left" vertical="center" indent="1"/>
    </xf>
    <xf numFmtId="168" fontId="29" fillId="5" borderId="1" xfId="0" applyNumberFormat="1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29" fillId="4" borderId="1" xfId="0" applyFont="1" applyFill="1" applyBorder="1" applyAlignment="1">
      <alignment horizontal="left" vertical="center" indent="1"/>
    </xf>
    <xf numFmtId="168" fontId="29" fillId="4" borderId="1" xfId="0" applyNumberFormat="1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30" fillId="10" borderId="0" xfId="0" applyFont="1" applyFill="1" applyAlignment="1">
      <alignment horizontal="center" vertical="center" wrapText="1"/>
    </xf>
    <xf numFmtId="0" fontId="33" fillId="10" borderId="0" xfId="0" applyFont="1" applyFill="1" applyAlignment="1">
      <alignment horizontal="center" vertical="center" wrapText="1"/>
    </xf>
    <xf numFmtId="0" fontId="34" fillId="5" borderId="1" xfId="0" applyFont="1" applyFill="1" applyBorder="1" applyAlignment="1">
      <alignment horizontal="left" vertical="center" indent="1"/>
    </xf>
    <xf numFmtId="9" fontId="34" fillId="5" borderId="1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left" vertical="center" indent="1"/>
    </xf>
    <xf numFmtId="9" fontId="34" fillId="4" borderId="1" xfId="0" applyNumberFormat="1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 vertical="center" wrapText="1"/>
    </xf>
    <xf numFmtId="0" fontId="32" fillId="3" borderId="0" xfId="0" applyFont="1" applyFill="1" applyAlignment="1">
      <alignment horizontal="left" vertical="center" wrapText="1" indent="1"/>
    </xf>
    <xf numFmtId="0" fontId="31" fillId="11" borderId="0" xfId="0" applyFont="1" applyFill="1" applyAlignment="1">
      <alignment horizontal="left" vertical="center" indent="1"/>
    </xf>
    <xf numFmtId="0" fontId="32" fillId="3" borderId="0" xfId="0" applyFont="1" applyFill="1" applyAlignment="1">
      <alignment horizontal="left" vertical="center" indent="1"/>
    </xf>
    <xf numFmtId="9" fontId="15" fillId="5" borderId="1" xfId="0" applyNumberFormat="1" applyFont="1" applyFill="1" applyBorder="1"/>
    <xf numFmtId="0" fontId="3" fillId="3" borderId="0" xfId="0" applyFont="1" applyFill="1" applyAlignment="1">
      <alignment horizontal="left" vertical="center" indent="1"/>
    </xf>
    <xf numFmtId="0" fontId="17" fillId="9" borderId="0" xfId="0" applyFont="1" applyFill="1" applyAlignment="1">
      <alignment horizontal="center" vertical="center" wrapText="1"/>
    </xf>
    <xf numFmtId="164" fontId="5" fillId="5" borderId="1" xfId="0" applyNumberFormat="1" applyFont="1" applyFill="1" applyBorder="1"/>
    <xf numFmtId="0" fontId="12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165" fontId="5" fillId="5" borderId="1" xfId="0" applyNumberFormat="1" applyFont="1" applyFill="1" applyBorder="1"/>
    <xf numFmtId="0" fontId="14" fillId="5" borderId="1" xfId="0" applyFont="1" applyFill="1" applyBorder="1"/>
    <xf numFmtId="0" fontId="5" fillId="5" borderId="1" xfId="0" applyFont="1" applyFill="1" applyBorder="1"/>
    <xf numFmtId="0" fontId="8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indent="1"/>
    </xf>
    <xf numFmtId="0" fontId="0" fillId="3" borderId="1" xfId="0" applyFill="1" applyBorder="1" applyAlignment="1">
      <alignment horizontal="center"/>
    </xf>
    <xf numFmtId="0" fontId="35" fillId="0" borderId="0" xfId="1"/>
  </cellXfs>
  <cellStyles count="2">
    <cellStyle name="Hyperlink" xfId="1" builtinId="8"/>
    <cellStyle name="Normal" xfId="0" builtinId="0"/>
  </cellStyles>
  <dxfs count="28">
    <dxf>
      <font>
        <b/>
        <color rgb="FFFFFFFF"/>
      </font>
      <fill>
        <patternFill>
          <bgColor rgb="FF5E9A5E"/>
        </patternFill>
      </fill>
    </dxf>
    <dxf>
      <font>
        <b/>
        <color rgb="FFFFFFFF"/>
      </font>
      <fill>
        <patternFill>
          <bgColor rgb="FF7B6CA8"/>
        </patternFill>
      </fill>
    </dxf>
    <dxf>
      <font>
        <b/>
        <color rgb="FFFFFFFF"/>
      </font>
      <fill>
        <patternFill>
          <bgColor rgb="FFE0A23B"/>
        </patternFill>
      </fill>
    </dxf>
    <dxf>
      <font>
        <b/>
        <color rgb="FFFFFFFF"/>
      </font>
      <fill>
        <patternFill>
          <bgColor rgb="FF2E8B8B"/>
        </patternFill>
      </fill>
    </dxf>
    <dxf>
      <font>
        <b/>
        <color rgb="FFFFFFFF"/>
      </font>
      <fill>
        <patternFill>
          <bgColor rgb="FFE8B954"/>
        </patternFill>
      </fill>
    </dxf>
    <dxf>
      <font>
        <b/>
        <color rgb="FFFFFFFF"/>
      </font>
      <fill>
        <patternFill>
          <bgColor rgb="FFD9655F"/>
        </patternFill>
      </fill>
    </dxf>
    <dxf>
      <font>
        <b/>
        <color rgb="FFFFFFFF"/>
      </font>
      <fill>
        <patternFill>
          <bgColor rgb="FFE0A23B"/>
        </patternFill>
      </fill>
    </dxf>
    <dxf>
      <font>
        <b/>
        <color rgb="FFFFFFFF"/>
      </font>
      <fill>
        <patternFill>
          <bgColor rgb="FF5E9A5E"/>
        </patternFill>
      </fill>
    </dxf>
    <dxf>
      <font>
        <b/>
        <color rgb="FFFFFFFF"/>
      </font>
      <fill>
        <patternFill>
          <bgColor rgb="FFD9655F"/>
        </patternFill>
      </fill>
    </dxf>
    <dxf>
      <font>
        <b/>
        <color rgb="FFFFFFFF"/>
      </font>
      <fill>
        <patternFill>
          <bgColor rgb="FF8A8A99"/>
        </patternFill>
      </fill>
    </dxf>
    <dxf>
      <font>
        <b/>
        <color rgb="FFFFFFFF"/>
      </font>
      <fill>
        <patternFill>
          <bgColor rgb="FFE0A23B"/>
        </patternFill>
      </fill>
    </dxf>
    <dxf>
      <font>
        <b/>
        <color rgb="FFFFFFFF"/>
      </font>
      <fill>
        <patternFill>
          <bgColor rgb="FF2E8B8B"/>
        </patternFill>
      </fill>
    </dxf>
    <dxf>
      <font>
        <b/>
        <color rgb="FFFFFFFF"/>
      </font>
      <fill>
        <patternFill>
          <bgColor rgb="FF5E9A5E"/>
        </patternFill>
      </fill>
    </dxf>
    <dxf>
      <font>
        <b/>
        <color rgb="FFFFFFFF"/>
      </font>
      <fill>
        <patternFill>
          <bgColor rgb="FF5E9A5E"/>
        </patternFill>
      </fill>
    </dxf>
    <dxf>
      <font>
        <b/>
        <color rgb="FF5E9A5E"/>
      </font>
    </dxf>
    <dxf>
      <font>
        <b/>
        <color rgb="FFE0A23B"/>
      </font>
    </dxf>
    <dxf>
      <font>
        <b/>
        <color rgb="FFC97A8C"/>
      </font>
    </dxf>
    <dxf>
      <font>
        <b/>
        <color rgb="FFFFFFFF"/>
      </font>
      <fill>
        <patternFill>
          <bgColor rgb="FFD9655F"/>
        </patternFill>
      </fill>
    </dxf>
    <dxf>
      <font>
        <b/>
        <color rgb="FFFFFFFF"/>
      </font>
      <fill>
        <patternFill>
          <bgColor rgb="FF8A8A99"/>
        </patternFill>
      </fill>
    </dxf>
    <dxf>
      <font>
        <b/>
        <color rgb="FFFFFFFF"/>
      </font>
      <fill>
        <patternFill>
          <bgColor rgb="FFE0A23B"/>
        </patternFill>
      </fill>
    </dxf>
    <dxf>
      <font>
        <b/>
        <color rgb="FFFFFFFF"/>
      </font>
      <fill>
        <patternFill>
          <bgColor rgb="FF5E9A5E"/>
        </patternFill>
      </fill>
    </dxf>
    <dxf>
      <font>
        <b/>
        <color rgb="FFFFFFFF"/>
      </font>
      <fill>
        <patternFill>
          <bgColor rgb="FFD9655F"/>
        </patternFill>
      </fill>
    </dxf>
    <dxf>
      <font>
        <b/>
        <color rgb="FFFFFFFF"/>
      </font>
      <fill>
        <patternFill>
          <bgColor rgb="FF8A8A99"/>
        </patternFill>
      </fill>
    </dxf>
    <dxf>
      <font>
        <b/>
        <color rgb="FFFFFFFF"/>
      </font>
      <fill>
        <patternFill>
          <bgColor rgb="FFE0A23B"/>
        </patternFill>
      </fill>
    </dxf>
    <dxf>
      <font>
        <b/>
        <color rgb="FFFFFFFF"/>
      </font>
      <fill>
        <patternFill>
          <bgColor rgb="FF5E9A5E"/>
        </patternFill>
      </fill>
    </dxf>
    <dxf>
      <font>
        <b/>
        <color rgb="FFFFFFFF"/>
      </font>
      <fill>
        <patternFill>
          <bgColor rgb="FF8A8A99"/>
        </patternFill>
      </fill>
    </dxf>
    <dxf>
      <font>
        <b/>
        <color rgb="FFFFFFFF"/>
      </font>
      <fill>
        <patternFill>
          <bgColor rgb="FFE0A23B"/>
        </patternFill>
      </fill>
    </dxf>
    <dxf>
      <font>
        <b/>
        <color rgb="FFFFFFFF"/>
      </font>
      <fill>
        <patternFill>
          <bgColor rgb="FF5E9A5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9A5E"/>
      <rgbColor rgb="FF800080"/>
      <rgbColor rgb="FF008080"/>
      <rgbColor rgb="FFE2E2EA"/>
      <rgbColor rgb="FF878787"/>
      <rgbColor rgb="FF9999FF"/>
      <rgbColor rgb="FF993366"/>
      <rgbColor rgb="FFF9F9F9"/>
      <rgbColor rgb="FFDCEEEE"/>
      <rgbColor rgb="FF660066"/>
      <rgbColor rgb="FFE08E5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9"/>
      <rgbColor rgb="FFE3EEE3"/>
      <rgbColor rgb="FFFBE8DD"/>
      <rgbColor rgb="FFEDE9F7"/>
      <rgbColor rgb="FFC97A8C"/>
      <rgbColor rgb="FFF6E3E8"/>
      <rgbColor rgb="FFE8B954"/>
      <rgbColor rgb="FF4F81BD"/>
      <rgbColor rgb="FF33CCCC"/>
      <rgbColor rgb="FF99CC00"/>
      <rgbColor rgb="FFFFCC00"/>
      <rgbColor rgb="FFE0A23B"/>
      <rgbColor rgb="FFD9655F"/>
      <rgbColor rgb="FF7B6CA8"/>
      <rgbColor rgb="FF8A8A99"/>
      <rgbColor rgb="FF1F2A44"/>
      <rgbColor rgb="FF2E8B8B"/>
      <rgbColor rgb="FF003300"/>
      <rgbColor rgb="FF333300"/>
      <rgbColor rgb="FF993300"/>
      <rgbColor rgb="FF993366"/>
      <rgbColor rgb="FF33415F"/>
      <rgbColor rgb="FF2B2B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5E9A5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A34-438A-B884-CB294E7F8DDD}"/>
              </c:ext>
            </c:extLst>
          </c:dPt>
          <c:dPt>
            <c:idx val="1"/>
            <c:bubble3D val="0"/>
            <c:spPr>
              <a:solidFill>
                <a:srgbClr val="E0A23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A34-438A-B884-CB294E7F8DDD}"/>
              </c:ext>
            </c:extLst>
          </c:dPt>
          <c:dPt>
            <c:idx val="2"/>
            <c:bubble3D val="0"/>
            <c:spPr>
              <a:solidFill>
                <a:srgbClr val="8A8A9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A34-438A-B884-CB294E7F8DDD}"/>
              </c:ext>
            </c:extLst>
          </c:dPt>
          <c:dPt>
            <c:idx val="3"/>
            <c:bubble3D val="0"/>
            <c:spPr>
              <a:solidFill>
                <a:srgbClr val="D9655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A34-438A-B884-CB294E7F8DD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34-438A-B884-CB294E7F8DD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34-438A-B884-CB294E7F8DD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34-438A-B884-CB294E7F8DD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34-438A-B884-CB294E7F8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'9_Analytics'!#REF!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'9_Analytics'!#REF!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'9_Analytics'!#REF!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A34-438A-B884-CB294E7F8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Hours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'9_Analytics'!$B$4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2E8B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'9_Analytics'!$A$5:$A$21</c:f>
              <c:strCache>
                <c:ptCount val="17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</c:strCache>
            </c:strRef>
          </c:cat>
          <c:val>
            <c:numRef>
              <c:f>'9_Analytics'!$B$5:$B$21</c:f>
              <c:numCache>
                <c:formatCode>0.0</c:formatCode>
                <c:ptCount val="17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B-4003-9050-E440CE4E7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43497"/>
        <c:axId val="97843706"/>
      </c:barChart>
      <c:catAx>
        <c:axId val="36343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43706"/>
        <c:crosses val="autoZero"/>
        <c:auto val="1"/>
        <c:lblAlgn val="ctr"/>
        <c:lblOffset val="100"/>
        <c:noMultiLvlLbl val="0"/>
      </c:catAx>
      <c:valAx>
        <c:axId val="97843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43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3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3600" b="1" strike="noStrike" spc="-1">
                <a:solidFill>
                  <a:srgbClr val="000000"/>
                </a:solidFill>
                <a:latin typeface="Calibri"/>
              </a:rPr>
              <a:t>Hours Logged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'9_Analytics'!$B$4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2E8B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'9_Analytics'!$A$5:$A$21</c:f>
              <c:strCache>
                <c:ptCount val="17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</c:strCache>
            </c:strRef>
          </c:cat>
          <c:val>
            <c:numRef>
              <c:f>'9_Analytics'!$B$5:$B$21</c:f>
              <c:numCache>
                <c:formatCode>0.0</c:formatCode>
                <c:ptCount val="17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F-474D-A7C5-EA0783A4E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15103"/>
        <c:axId val="80292014"/>
      </c:barChart>
      <c:catAx>
        <c:axId val="8591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292014"/>
        <c:crosses val="autoZero"/>
        <c:auto val="1"/>
        <c:lblAlgn val="ctr"/>
        <c:lblOffset val="100"/>
        <c:noMultiLvlLbl val="0"/>
      </c:catAx>
      <c:valAx>
        <c:axId val="80292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15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4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4000" b="1" strike="noStrike" spc="-1">
                <a:solidFill>
                  <a:srgbClr val="000000"/>
                </a:solidFill>
                <a:latin typeface="Calibri"/>
              </a:rPr>
              <a:t>Task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5E9A5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E4D-40D8-99CA-6BBFB663AC98}"/>
              </c:ext>
            </c:extLst>
          </c:dPt>
          <c:dPt>
            <c:idx val="1"/>
            <c:bubble3D val="0"/>
            <c:spPr>
              <a:solidFill>
                <a:srgbClr val="E0A23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E4D-40D8-99CA-6BBFB663AC98}"/>
              </c:ext>
            </c:extLst>
          </c:dPt>
          <c:dPt>
            <c:idx val="2"/>
            <c:bubble3D val="0"/>
            <c:spPr>
              <a:solidFill>
                <a:srgbClr val="8A8A9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E4D-40D8-99CA-6BBFB663AC98}"/>
              </c:ext>
            </c:extLst>
          </c:dPt>
          <c:dPt>
            <c:idx val="3"/>
            <c:bubble3D val="0"/>
            <c:spPr>
              <a:solidFill>
                <a:srgbClr val="D9655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E4D-40D8-99CA-6BBFB663AC9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4D-40D8-99CA-6BBFB663AC9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4D-40D8-99CA-6BBFB663AC9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4D-40D8-99CA-6BBFB663AC9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4D-40D8-99CA-6BBFB663AC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'9_Analytics'!#REF!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'9_Analytics'!#REF!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'9_Analytics'!#REF!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4D-40D8-99CA-6BBFB663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24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91109109131326604"/>
          <c:y val="0.52794574353755541"/>
          <c:w val="7.8841760012387088E-2"/>
          <c:h val="0.1295011486144924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3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3600" b="1" strike="noStrike" spc="-1">
                <a:solidFill>
                  <a:srgbClr val="000000"/>
                </a:solidFill>
                <a:latin typeface="Calibri"/>
              </a:rPr>
              <a:t>Hours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B6C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'9_Analytics'!#REF!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'9_Analytics'!#REF!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'9_Analytics'!#REF!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873-4AE1-BF7C-2BAC5EB89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67193"/>
        <c:axId val="60275967"/>
      </c:barChart>
      <c:catAx>
        <c:axId val="178671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2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2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75967"/>
        <c:crosses val="autoZero"/>
        <c:auto val="1"/>
        <c:lblAlgn val="ctr"/>
        <c:lblOffset val="100"/>
        <c:noMultiLvlLbl val="0"/>
      </c:catAx>
      <c:valAx>
        <c:axId val="602759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671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4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4000" b="1" strike="noStrike" spc="-1">
                <a:solidFill>
                  <a:srgbClr val="000000"/>
                </a:solidFill>
                <a:latin typeface="Calibri"/>
              </a:rPr>
              <a:t>Phase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'9_Analytics'!$B$23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rgbClr val="E08E5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'9_Analytics'!$A$24:$A$31</c:f>
              <c:strCache>
                <c:ptCount val="8"/>
                <c:pt idx="0">
                  <c:v>Research &amp; Planning</c:v>
                </c:pt>
                <c:pt idx="1">
                  <c:v>Dataset Collection</c:v>
                </c:pt>
                <c:pt idx="2">
                  <c:v>Data Cleaning &amp; Preprocessing</c:v>
                </c:pt>
                <c:pt idx="3">
                  <c:v>NLP Sentiment Analysis</c:v>
                </c:pt>
                <c:pt idx="4">
                  <c:v>Model Training &amp; Evaluation</c:v>
                </c:pt>
                <c:pt idx="5">
                  <c:v>Dashboard / App Development</c:v>
                </c:pt>
                <c:pt idx="6">
                  <c:v>Testing &amp; Documentation</c:v>
                </c:pt>
                <c:pt idx="7">
                  <c:v>Final PPT &amp; Viva Prep</c:v>
                </c:pt>
              </c:strCache>
            </c:strRef>
          </c:cat>
          <c:val>
            <c:numRef>
              <c:f>'9_Analytics'!$B$24:$B$31</c:f>
              <c:numCache>
                <c:formatCode>0%</c:formatCode>
                <c:ptCount val="8"/>
                <c:pt idx="0">
                  <c:v>0.15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A-47D5-9DAA-7109C1101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4452"/>
        <c:axId val="77251107"/>
      </c:barChart>
      <c:catAx>
        <c:axId val="1728445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51107"/>
        <c:crosses val="autoZero"/>
        <c:auto val="1"/>
        <c:lblAlgn val="ctr"/>
        <c:lblOffset val="100"/>
        <c:noMultiLvlLbl val="0"/>
      </c:catAx>
      <c:valAx>
        <c:axId val="772511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284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232920</xdr:rowOff>
    </xdr:from>
    <xdr:to>
      <xdr:col>3</xdr:col>
      <xdr:colOff>843120</xdr:colOff>
      <xdr:row>41</xdr:row>
      <xdr:rowOff>18000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26</xdr:row>
      <xdr:rowOff>232920</xdr:rowOff>
    </xdr:from>
    <xdr:to>
      <xdr:col>9</xdr:col>
      <xdr:colOff>810360</xdr:colOff>
      <xdr:row>41</xdr:row>
      <xdr:rowOff>18000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5394477</xdr:colOff>
      <xdr:row>22</xdr:row>
      <xdr:rowOff>347870</xdr:rowOff>
    </xdr:from>
    <xdr:to>
      <xdr:col>30</xdr:col>
      <xdr:colOff>84666</xdr:colOff>
      <xdr:row>59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9072</xdr:colOff>
      <xdr:row>22</xdr:row>
      <xdr:rowOff>7056</xdr:rowOff>
    </xdr:from>
    <xdr:to>
      <xdr:col>4</xdr:col>
      <xdr:colOff>0</xdr:colOff>
      <xdr:row>58</xdr:row>
      <xdr:rowOff>154460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9073</xdr:rowOff>
    </xdr:from>
    <xdr:to>
      <xdr:col>2</xdr:col>
      <xdr:colOff>14652</xdr:colOff>
      <xdr:row>58</xdr:row>
      <xdr:rowOff>153867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15770</xdr:colOff>
      <xdr:row>2</xdr:row>
      <xdr:rowOff>11725</xdr:rowOff>
    </xdr:from>
    <xdr:to>
      <xdr:col>30</xdr:col>
      <xdr:colOff>87084</xdr:colOff>
      <xdr:row>22</xdr:row>
      <xdr:rowOff>347870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rishnagondaliya034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B2:K27"/>
  <sheetViews>
    <sheetView showGridLines="0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F8" sqref="F8:H9"/>
    </sheetView>
  </sheetViews>
  <sheetFormatPr defaultColWidth="8.6640625" defaultRowHeight="14.4" x14ac:dyDescent="0.3"/>
  <cols>
    <col min="1" max="1" width="2" customWidth="1"/>
    <col min="2" max="3" width="17" customWidth="1"/>
    <col min="4" max="10" width="15" customWidth="1"/>
    <col min="11" max="11" width="2" customWidth="1"/>
  </cols>
  <sheetData>
    <row r="2" spans="2:11" ht="43.5" customHeight="1" x14ac:dyDescent="0.3">
      <c r="B2" s="64" t="s">
        <v>0</v>
      </c>
      <c r="C2" s="64"/>
      <c r="D2" s="64"/>
      <c r="E2" s="64"/>
      <c r="F2" s="64"/>
      <c r="G2" s="64"/>
      <c r="H2" s="64"/>
      <c r="I2" s="64"/>
      <c r="J2" s="64"/>
    </row>
    <row r="3" spans="2:11" ht="18" customHeight="1" x14ac:dyDescent="0.3">
      <c r="B3" s="1" t="s">
        <v>1</v>
      </c>
    </row>
    <row r="6" spans="2:11" ht="19.5" customHeight="1" x14ac:dyDescent="0.3">
      <c r="B6" s="52" t="s">
        <v>2</v>
      </c>
      <c r="C6" s="52"/>
      <c r="D6" s="52"/>
      <c r="F6" s="52" t="s">
        <v>3</v>
      </c>
      <c r="G6" s="52"/>
      <c r="H6" s="52"/>
      <c r="I6" s="52"/>
      <c r="J6" s="52"/>
    </row>
    <row r="7" spans="2:11" ht="18" customHeight="1" x14ac:dyDescent="0.3">
      <c r="B7" s="2" t="s">
        <v>4</v>
      </c>
      <c r="C7" s="59" t="s">
        <v>5</v>
      </c>
      <c r="D7" s="59"/>
      <c r="F7" s="65" t="s">
        <v>6</v>
      </c>
      <c r="G7" s="65"/>
      <c r="H7" s="65"/>
      <c r="I7" s="66" t="s">
        <v>7</v>
      </c>
      <c r="J7" s="66"/>
      <c r="K7" s="66"/>
    </row>
    <row r="8" spans="2:11" ht="19.5" customHeight="1" x14ac:dyDescent="0.3">
      <c r="B8" s="2" t="s">
        <v>8</v>
      </c>
      <c r="C8" s="59" t="s">
        <v>9</v>
      </c>
      <c r="D8" s="59"/>
      <c r="F8" s="60">
        <v>1</v>
      </c>
      <c r="G8" s="60"/>
      <c r="H8" s="60"/>
      <c r="I8" s="61">
        <f>ROUND(SUM('3_Daily_Log'!D2:D297),1)</f>
        <v>5</v>
      </c>
      <c r="J8" s="61"/>
      <c r="K8" s="61"/>
    </row>
    <row r="9" spans="2:11" ht="19.5" customHeight="1" x14ac:dyDescent="0.3">
      <c r="B9" s="2" t="s">
        <v>10</v>
      </c>
      <c r="C9" s="54">
        <v>46194</v>
      </c>
      <c r="D9" s="54"/>
      <c r="F9" s="60"/>
      <c r="G9" s="60"/>
      <c r="H9" s="60"/>
      <c r="I9" s="61"/>
      <c r="J9" s="61"/>
      <c r="K9" s="61"/>
    </row>
    <row r="10" spans="2:11" ht="18" customHeight="1" x14ac:dyDescent="0.3">
      <c r="B10" s="2" t="s">
        <v>11</v>
      </c>
      <c r="C10" s="54">
        <v>46316</v>
      </c>
      <c r="D10" s="54"/>
      <c r="F10" s="62" t="s">
        <v>12</v>
      </c>
      <c r="G10" s="62"/>
      <c r="H10" s="62"/>
      <c r="I10" s="63" t="s">
        <v>13</v>
      </c>
      <c r="J10" s="63"/>
      <c r="K10" s="63"/>
    </row>
    <row r="11" spans="2:11" ht="19.5" customHeight="1" x14ac:dyDescent="0.3">
      <c r="B11" s="2" t="s">
        <v>14</v>
      </c>
      <c r="C11" s="54">
        <f ca="1">TODAY()</f>
        <v>46195</v>
      </c>
      <c r="D11" s="54"/>
      <c r="F11" s="55">
        <f>COUNTIF('7_Bug_Tracker'!E2:E200,"Open")</f>
        <v>0</v>
      </c>
      <c r="G11" s="55"/>
      <c r="H11" s="55"/>
      <c r="I11" s="56">
        <f>COUNTA('3_Daily_Log'!B2:B297)</f>
        <v>9</v>
      </c>
      <c r="J11" s="56"/>
      <c r="K11" s="56"/>
    </row>
    <row r="12" spans="2:11" ht="19.5" customHeight="1" x14ac:dyDescent="0.3">
      <c r="B12" s="2" t="s">
        <v>15</v>
      </c>
      <c r="C12" s="57">
        <f>MAX(0,C10-C9)</f>
        <v>122</v>
      </c>
      <c r="D12" s="57"/>
      <c r="F12" s="55"/>
      <c r="G12" s="55"/>
      <c r="H12" s="55"/>
      <c r="I12" s="56"/>
      <c r="J12" s="56"/>
      <c r="K12" s="56"/>
    </row>
    <row r="13" spans="2:11" x14ac:dyDescent="0.3">
      <c r="B13" s="2" t="s">
        <v>16</v>
      </c>
      <c r="C13" s="58" t="str">
        <f>IFERROR(INDEX('2_Roadmap'!B5:B12,MATCH("In Progress",'2_Roadmap'!E5:E12,0)),"Not started yet")</f>
        <v>Research &amp; Planning</v>
      </c>
      <c r="D13" s="58"/>
    </row>
    <row r="14" spans="2:11" ht="17.399999999999999" x14ac:dyDescent="0.35">
      <c r="B14" s="2" t="s">
        <v>17</v>
      </c>
      <c r="C14" s="51">
        <f>IFERROR(AVERAGE('2_Roadmap'!F5:F12),0)</f>
        <v>1.8749999999999999E-2</v>
      </c>
      <c r="D14" s="51"/>
    </row>
    <row r="16" spans="2:11" ht="19.5" customHeight="1" x14ac:dyDescent="0.3">
      <c r="B16" s="52" t="s">
        <v>18</v>
      </c>
      <c r="C16" s="52"/>
      <c r="D16" s="52"/>
      <c r="F16" s="52" t="s">
        <v>19</v>
      </c>
      <c r="G16" s="52"/>
      <c r="H16" s="52"/>
      <c r="I16" s="52"/>
      <c r="J16" s="52"/>
    </row>
    <row r="17" spans="2:10" ht="19.5" customHeight="1" x14ac:dyDescent="0.3">
      <c r="B17" s="3" t="s">
        <v>20</v>
      </c>
      <c r="C17" s="3" t="s">
        <v>21</v>
      </c>
      <c r="D17" s="3" t="s">
        <v>22</v>
      </c>
      <c r="F17" s="53" t="s">
        <v>23</v>
      </c>
      <c r="G17" s="53"/>
      <c r="H17" s="53"/>
      <c r="I17" s="53"/>
      <c r="J17" s="53"/>
    </row>
    <row r="18" spans="2:10" x14ac:dyDescent="0.3">
      <c r="B18" s="4" t="str">
        <f>'2_Roadmap'!B5</f>
        <v>Research &amp; Planning</v>
      </c>
      <c r="C18" s="5" t="str">
        <f>'2_Roadmap'!E5</f>
        <v>In Progress</v>
      </c>
      <c r="D18" s="6">
        <f>'2_Roadmap'!F5</f>
        <v>0.15</v>
      </c>
      <c r="F18" s="53"/>
      <c r="G18" s="53"/>
      <c r="H18" s="53"/>
      <c r="I18" s="53"/>
      <c r="J18" s="53"/>
    </row>
    <row r="19" spans="2:10" x14ac:dyDescent="0.3">
      <c r="B19" s="7" t="str">
        <f>'2_Roadmap'!B6</f>
        <v>Dataset Collection</v>
      </c>
      <c r="C19" s="8" t="str">
        <f>'2_Roadmap'!E6</f>
        <v>Not Started</v>
      </c>
      <c r="D19" s="9">
        <f>'2_Roadmap'!F6</f>
        <v>0</v>
      </c>
      <c r="F19" s="53"/>
      <c r="G19" s="53"/>
      <c r="H19" s="53"/>
      <c r="I19" s="53"/>
      <c r="J19" s="53"/>
    </row>
    <row r="20" spans="2:10" x14ac:dyDescent="0.3">
      <c r="B20" s="4" t="str">
        <f>'2_Roadmap'!B7</f>
        <v>Data Cleaning &amp; Preprocessing</v>
      </c>
      <c r="C20" s="5" t="str">
        <f>'2_Roadmap'!E7</f>
        <v>Not Started</v>
      </c>
      <c r="D20" s="6">
        <f>'2_Roadmap'!F7</f>
        <v>0</v>
      </c>
      <c r="F20" s="53"/>
      <c r="G20" s="53"/>
      <c r="H20" s="53"/>
      <c r="I20" s="53"/>
      <c r="J20" s="53"/>
    </row>
    <row r="21" spans="2:10" x14ac:dyDescent="0.3">
      <c r="B21" s="7" t="str">
        <f>'2_Roadmap'!B8</f>
        <v>NLP Sentiment Analysis</v>
      </c>
      <c r="C21" s="8" t="str">
        <f>'2_Roadmap'!E8</f>
        <v>Not Started</v>
      </c>
      <c r="D21" s="9">
        <f>'2_Roadmap'!F8</f>
        <v>0</v>
      </c>
    </row>
    <row r="22" spans="2:10" x14ac:dyDescent="0.3">
      <c r="B22" s="4" t="str">
        <f>'2_Roadmap'!B9</f>
        <v>Model Training &amp; Evaluation</v>
      </c>
      <c r="C22" s="5" t="str">
        <f>'2_Roadmap'!E9</f>
        <v>Not Started</v>
      </c>
      <c r="D22" s="6">
        <f>'2_Roadmap'!F9</f>
        <v>0</v>
      </c>
    </row>
    <row r="23" spans="2:10" x14ac:dyDescent="0.3">
      <c r="B23" s="7" t="str">
        <f>'2_Roadmap'!B10</f>
        <v>Dashboard / App Development</v>
      </c>
      <c r="C23" s="8" t="str">
        <f>'2_Roadmap'!E10</f>
        <v>Not Started</v>
      </c>
      <c r="D23" s="9">
        <f>'2_Roadmap'!F10</f>
        <v>0</v>
      </c>
    </row>
    <row r="24" spans="2:10" x14ac:dyDescent="0.3">
      <c r="B24" s="4" t="str">
        <f>'2_Roadmap'!B11</f>
        <v>Testing &amp; Documentation</v>
      </c>
      <c r="C24" s="5" t="str">
        <f>'2_Roadmap'!E11</f>
        <v>Not Started</v>
      </c>
      <c r="D24" s="6">
        <f>'2_Roadmap'!F11</f>
        <v>0</v>
      </c>
    </row>
    <row r="25" spans="2:10" x14ac:dyDescent="0.3">
      <c r="B25" s="7" t="str">
        <f>'2_Roadmap'!B12</f>
        <v>Final PPT &amp; Viva Prep</v>
      </c>
      <c r="C25" s="8" t="str">
        <f>'2_Roadmap'!E12</f>
        <v>Not Started</v>
      </c>
      <c r="D25" s="9">
        <f>'2_Roadmap'!F12</f>
        <v>0</v>
      </c>
    </row>
    <row r="27" spans="2:10" ht="19.5" customHeight="1" x14ac:dyDescent="0.3">
      <c r="B27" s="52" t="s">
        <v>24</v>
      </c>
      <c r="C27" s="52"/>
      <c r="D27" s="52"/>
      <c r="E27" s="52"/>
      <c r="F27" s="52"/>
      <c r="G27" s="52"/>
      <c r="H27" s="52"/>
      <c r="I27" s="52"/>
      <c r="J27" s="52"/>
    </row>
  </sheetData>
  <mergeCells count="23">
    <mergeCell ref="B2:J2"/>
    <mergeCell ref="B6:D6"/>
    <mergeCell ref="F6:J6"/>
    <mergeCell ref="C7:D7"/>
    <mergeCell ref="F7:H7"/>
    <mergeCell ref="I7:K7"/>
    <mergeCell ref="C8:D8"/>
    <mergeCell ref="F8:H9"/>
    <mergeCell ref="I8:K9"/>
    <mergeCell ref="C9:D9"/>
    <mergeCell ref="C10:D10"/>
    <mergeCell ref="F10:H10"/>
    <mergeCell ref="I10:K10"/>
    <mergeCell ref="C11:D11"/>
    <mergeCell ref="F11:H12"/>
    <mergeCell ref="I11:K12"/>
    <mergeCell ref="C12:D12"/>
    <mergeCell ref="C13:D13"/>
    <mergeCell ref="C14:D14"/>
    <mergeCell ref="B16:D16"/>
    <mergeCell ref="F16:J16"/>
    <mergeCell ref="F17:J20"/>
    <mergeCell ref="B27:J27"/>
  </mergeCells>
  <conditionalFormatting sqref="C18:C25">
    <cfRule type="expression" dxfId="27" priority="3">
      <formula>EXACT($C18,"Done")</formula>
    </cfRule>
    <cfRule type="expression" dxfId="26" priority="4">
      <formula>EXACT($C18,"In Progress")</formula>
    </cfRule>
    <cfRule type="expression" dxfId="25" priority="5">
      <formula>EXACT($C18,"Not Started")</formula>
    </cfRule>
  </conditionalFormatting>
  <conditionalFormatting sqref="D18:D25">
    <cfRule type="dataBar" priority="2">
      <dataBar>
        <cfvo type="num" val="0"/>
        <cfvo type="num" val="1"/>
        <color rgb="FF2E8B8B"/>
      </dataBar>
      <extLst>
        <ext xmlns:x14="http://schemas.microsoft.com/office/spreadsheetml/2009/9/main" uri="{B025F937-C7B1-47D3-B67F-A62EFF666E3E}">
          <x14:id>{CC9E1F30-E0E2-43E3-A6C7-C6C9B94EB190}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9E1F30-E0E2-43E3-A6C7-C6C9B94EB19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8B8B"/>
            </x14:dataBar>
          </x14:cfRule>
          <xm:sqref>D18:D25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6CA8"/>
  </sheetPr>
  <dimension ref="B2:G13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7" sqref="G17"/>
    </sheetView>
  </sheetViews>
  <sheetFormatPr defaultColWidth="8.6640625" defaultRowHeight="14.4" x14ac:dyDescent="0.3"/>
  <cols>
    <col min="1" max="1" width="2" customWidth="1"/>
    <col min="2" max="2" width="32" customWidth="1"/>
    <col min="3" max="4" width="14" customWidth="1"/>
    <col min="5" max="5" width="12" customWidth="1"/>
    <col min="6" max="6" width="14" customWidth="1"/>
    <col min="7" max="7" width="40" customWidth="1"/>
    <col min="8" max="8" width="2" customWidth="1"/>
  </cols>
  <sheetData>
    <row r="2" spans="2:7" ht="39.75" customHeight="1" x14ac:dyDescent="0.3">
      <c r="B2" s="67" t="s">
        <v>25</v>
      </c>
      <c r="C2" s="67"/>
      <c r="D2" s="67"/>
      <c r="E2" s="67"/>
      <c r="F2" s="67"/>
      <c r="G2" s="67"/>
    </row>
    <row r="3" spans="2:7" ht="18" customHeight="1" x14ac:dyDescent="0.3">
      <c r="B3" s="1" t="s">
        <v>26</v>
      </c>
    </row>
    <row r="4" spans="2:7" ht="25.5" customHeight="1" x14ac:dyDescent="0.3">
      <c r="B4" s="10" t="s">
        <v>20</v>
      </c>
      <c r="C4" s="10" t="s">
        <v>10</v>
      </c>
      <c r="D4" s="10" t="s">
        <v>27</v>
      </c>
      <c r="E4" s="10" t="s">
        <v>21</v>
      </c>
      <c r="F4" s="10" t="s">
        <v>28</v>
      </c>
      <c r="G4" s="10" t="s">
        <v>29</v>
      </c>
    </row>
    <row r="5" spans="2:7" x14ac:dyDescent="0.3">
      <c r="B5" s="11" t="s">
        <v>30</v>
      </c>
      <c r="C5" s="11" t="s">
        <v>31</v>
      </c>
      <c r="D5" s="11" t="s">
        <v>32</v>
      </c>
      <c r="E5" s="12" t="s">
        <v>33</v>
      </c>
      <c r="F5" s="13">
        <v>0.15</v>
      </c>
      <c r="G5" s="11"/>
    </row>
    <row r="6" spans="2:7" x14ac:dyDescent="0.3">
      <c r="B6" s="14" t="s">
        <v>34</v>
      </c>
      <c r="C6" s="14" t="s">
        <v>35</v>
      </c>
      <c r="D6" s="14" t="s">
        <v>36</v>
      </c>
      <c r="E6" s="15" t="s">
        <v>37</v>
      </c>
      <c r="F6" s="16">
        <v>0</v>
      </c>
      <c r="G6" s="14"/>
    </row>
    <row r="7" spans="2:7" x14ac:dyDescent="0.3">
      <c r="B7" s="11" t="s">
        <v>38</v>
      </c>
      <c r="C7" s="11" t="s">
        <v>39</v>
      </c>
      <c r="D7" s="11" t="s">
        <v>40</v>
      </c>
      <c r="E7" s="12" t="s">
        <v>37</v>
      </c>
      <c r="F7" s="13">
        <v>0</v>
      </c>
      <c r="G7" s="11"/>
    </row>
    <row r="8" spans="2:7" x14ac:dyDescent="0.3">
      <c r="B8" s="14" t="s">
        <v>41</v>
      </c>
      <c r="C8" s="14" t="s">
        <v>42</v>
      </c>
      <c r="D8" s="14" t="s">
        <v>43</v>
      </c>
      <c r="E8" s="15" t="s">
        <v>37</v>
      </c>
      <c r="F8" s="16">
        <v>0</v>
      </c>
      <c r="G8" s="14"/>
    </row>
    <row r="9" spans="2:7" x14ac:dyDescent="0.3">
      <c r="B9" s="11" t="s">
        <v>44</v>
      </c>
      <c r="C9" s="11" t="s">
        <v>45</v>
      </c>
      <c r="D9" s="11" t="s">
        <v>46</v>
      </c>
      <c r="E9" s="12" t="s">
        <v>37</v>
      </c>
      <c r="F9" s="13">
        <v>0</v>
      </c>
      <c r="G9" s="11"/>
    </row>
    <row r="10" spans="2:7" x14ac:dyDescent="0.3">
      <c r="B10" s="14" t="s">
        <v>47</v>
      </c>
      <c r="C10" s="14" t="s">
        <v>48</v>
      </c>
      <c r="D10" s="14" t="s">
        <v>49</v>
      </c>
      <c r="E10" s="15" t="s">
        <v>37</v>
      </c>
      <c r="F10" s="16">
        <v>0</v>
      </c>
      <c r="G10" s="14"/>
    </row>
    <row r="11" spans="2:7" x14ac:dyDescent="0.3">
      <c r="B11" s="11" t="s">
        <v>50</v>
      </c>
      <c r="C11" s="11" t="s">
        <v>51</v>
      </c>
      <c r="D11" s="11" t="s">
        <v>52</v>
      </c>
      <c r="E11" s="12" t="s">
        <v>37</v>
      </c>
      <c r="F11" s="13">
        <v>0</v>
      </c>
      <c r="G11" s="11"/>
    </row>
    <row r="12" spans="2:7" x14ac:dyDescent="0.3">
      <c r="B12" s="14" t="s">
        <v>53</v>
      </c>
      <c r="C12" s="14" t="s">
        <v>54</v>
      </c>
      <c r="D12" s="14" t="s">
        <v>55</v>
      </c>
      <c r="E12" s="15" t="s">
        <v>37</v>
      </c>
      <c r="F12" s="16">
        <v>0</v>
      </c>
      <c r="G12" s="14"/>
    </row>
    <row r="13" spans="2:7" ht="15.6" x14ac:dyDescent="0.3">
      <c r="B13" s="17" t="s">
        <v>56</v>
      </c>
      <c r="C13" s="68"/>
      <c r="D13" s="68"/>
      <c r="E13" s="68"/>
      <c r="F13" s="19">
        <f>AVERAGE(F5:F12)</f>
        <v>1.8749999999999999E-2</v>
      </c>
      <c r="G13" s="18"/>
    </row>
  </sheetData>
  <mergeCells count="2">
    <mergeCell ref="B2:G2"/>
    <mergeCell ref="C13:E13"/>
  </mergeCells>
  <conditionalFormatting sqref="E5:E12">
    <cfRule type="expression" dxfId="24" priority="2">
      <formula>EXACT($E5,"Done")</formula>
    </cfRule>
    <cfRule type="expression" dxfId="23" priority="3">
      <formula>EXACT($E5,"In Progress")</formula>
    </cfRule>
    <cfRule type="expression" dxfId="22" priority="4">
      <formula>EXACT($E5,"Not Started")</formula>
    </cfRule>
    <cfRule type="expression" dxfId="21" priority="5">
      <formula>EXACT($E5,"Blocked")</formula>
    </cfRule>
  </conditionalFormatting>
  <conditionalFormatting sqref="F5:F12">
    <cfRule type="dataBar" priority="6">
      <dataBar>
        <cfvo type="num" val="0"/>
        <cfvo type="num" val="1"/>
        <color rgb="FF2E8B8B"/>
      </dataBar>
      <extLst>
        <ext xmlns:x14="http://schemas.microsoft.com/office/spreadsheetml/2009/9/main" uri="{B025F937-C7B1-47D3-B67F-A62EFF666E3E}">
          <x14:id>{E9233E43-B4B9-4626-A137-D440816ED412}</x14:id>
        </ext>
      </extLst>
    </cfRule>
  </conditionalFormatting>
  <dataValidations count="2">
    <dataValidation type="list" allowBlank="1" sqref="E5:E12" xr:uid="{00000000-0002-0000-0100-000000000000}">
      <formula1>"Not Started,In Progress,Done,Blocked"</formula1>
      <formula2>0</formula2>
    </dataValidation>
    <dataValidation type="decimal" allowBlank="1" errorTitle="Invalid %" error="Enter a value between 0% and 100% (e.g. 0.5 for 50%)" sqref="F5:F12" xr:uid="{00000000-0002-0000-0100-000001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233E43-B4B9-4626-A137-D440816ED41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8B8B"/>
            </x14:dataBar>
          </x14:cfRule>
          <xm:sqref>F5:F12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8B"/>
  </sheetPr>
  <dimension ref="A2:G297"/>
  <sheetViews>
    <sheetView showGridLines="0" topLeftCell="G1" zoomScaleNormal="100" workbookViewId="0">
      <pane ySplit="4" topLeftCell="A5" activePane="bottomLeft" state="frozen"/>
      <selection pane="bottomLeft" activeCell="B16" sqref="B16"/>
    </sheetView>
  </sheetViews>
  <sheetFormatPr defaultColWidth="8.6640625" defaultRowHeight="14.4" x14ac:dyDescent="0.3"/>
  <cols>
    <col min="1" max="1" width="17.44140625" customWidth="1"/>
    <col min="2" max="2" width="42.21875" customWidth="1"/>
    <col min="3" max="3" width="19.21875" customWidth="1"/>
    <col min="4" max="4" width="14.21875" customWidth="1"/>
    <col min="5" max="5" width="12.5546875" customWidth="1"/>
    <col min="6" max="6" width="12.88671875" customWidth="1"/>
    <col min="7" max="7" width="55.88671875" bestFit="1" customWidth="1"/>
    <col min="8" max="8" width="2" customWidth="1"/>
  </cols>
  <sheetData>
    <row r="2" spans="1:7" ht="39.75" customHeight="1" x14ac:dyDescent="0.3">
      <c r="A2" s="67" t="s">
        <v>57</v>
      </c>
      <c r="B2" s="67"/>
      <c r="C2" s="67"/>
      <c r="D2" s="67"/>
      <c r="E2" s="67"/>
      <c r="F2" s="67"/>
      <c r="G2" s="67"/>
    </row>
    <row r="3" spans="1:7" ht="18" customHeight="1" x14ac:dyDescent="0.3">
      <c r="A3" s="1" t="s">
        <v>58</v>
      </c>
    </row>
    <row r="4" spans="1:7" ht="24" customHeight="1" x14ac:dyDescent="0.3">
      <c r="A4" s="10" t="s">
        <v>59</v>
      </c>
      <c r="B4" s="10" t="s">
        <v>60</v>
      </c>
      <c r="C4" s="10" t="s">
        <v>61</v>
      </c>
      <c r="D4" s="10" t="s">
        <v>62</v>
      </c>
      <c r="E4" s="10" t="s">
        <v>21</v>
      </c>
      <c r="F4" s="10" t="s">
        <v>63</v>
      </c>
      <c r="G4" s="10" t="s">
        <v>29</v>
      </c>
    </row>
    <row r="5" spans="1:7" x14ac:dyDescent="0.3">
      <c r="A5" s="20">
        <v>46194</v>
      </c>
      <c r="B5" t="s">
        <v>129</v>
      </c>
      <c r="C5" s="11" t="s">
        <v>66</v>
      </c>
      <c r="D5" s="12">
        <v>1</v>
      </c>
      <c r="E5" s="12" t="s">
        <v>65</v>
      </c>
      <c r="F5" s="12" t="s">
        <v>67</v>
      </c>
      <c r="G5" t="s">
        <v>5</v>
      </c>
    </row>
    <row r="6" spans="1:7" x14ac:dyDescent="0.3">
      <c r="A6" s="20">
        <v>46194</v>
      </c>
      <c r="B6" t="s">
        <v>130</v>
      </c>
      <c r="C6" s="11" t="s">
        <v>123</v>
      </c>
      <c r="D6" s="12">
        <v>0.5</v>
      </c>
      <c r="E6" s="12" t="s">
        <v>65</v>
      </c>
      <c r="F6" s="12" t="s">
        <v>67</v>
      </c>
      <c r="G6" t="s">
        <v>131</v>
      </c>
    </row>
    <row r="7" spans="1:7" x14ac:dyDescent="0.3">
      <c r="A7" s="20">
        <v>46194</v>
      </c>
      <c r="B7" t="s">
        <v>132</v>
      </c>
      <c r="C7" s="14" t="s">
        <v>64</v>
      </c>
      <c r="D7" s="15">
        <v>0.5</v>
      </c>
      <c r="E7" s="15" t="s">
        <v>65</v>
      </c>
      <c r="F7" s="15" t="s">
        <v>67</v>
      </c>
      <c r="G7" t="s">
        <v>133</v>
      </c>
    </row>
    <row r="8" spans="1:7" x14ac:dyDescent="0.3">
      <c r="A8" s="20">
        <v>46194</v>
      </c>
      <c r="B8" t="s">
        <v>134</v>
      </c>
      <c r="C8" s="14" t="s">
        <v>64</v>
      </c>
      <c r="D8" s="15">
        <v>0.5</v>
      </c>
      <c r="E8" s="15" t="s">
        <v>65</v>
      </c>
      <c r="F8" s="15" t="s">
        <v>67</v>
      </c>
      <c r="G8" t="s">
        <v>135</v>
      </c>
    </row>
    <row r="9" spans="1:7" x14ac:dyDescent="0.3">
      <c r="A9" s="20">
        <v>46194</v>
      </c>
      <c r="B9" t="s">
        <v>136</v>
      </c>
      <c r="C9" s="14" t="s">
        <v>64</v>
      </c>
      <c r="D9" s="15">
        <v>0.5</v>
      </c>
      <c r="E9" s="15" t="s">
        <v>65</v>
      </c>
      <c r="F9" s="15" t="s">
        <v>67</v>
      </c>
      <c r="G9" s="69" t="s">
        <v>137</v>
      </c>
    </row>
    <row r="10" spans="1:7" x14ac:dyDescent="0.3">
      <c r="A10" s="20">
        <v>46194</v>
      </c>
      <c r="B10" t="s">
        <v>138</v>
      </c>
      <c r="C10" s="11" t="s">
        <v>139</v>
      </c>
      <c r="D10" s="12">
        <v>1</v>
      </c>
      <c r="E10" s="15" t="s">
        <v>65</v>
      </c>
      <c r="F10" s="12" t="s">
        <v>140</v>
      </c>
      <c r="G10" t="s">
        <v>141</v>
      </c>
    </row>
    <row r="11" spans="1:7" x14ac:dyDescent="0.3">
      <c r="A11" s="20">
        <v>46194</v>
      </c>
      <c r="B11" t="s">
        <v>142</v>
      </c>
      <c r="C11" s="11" t="s">
        <v>139</v>
      </c>
      <c r="D11" s="15">
        <v>0.5</v>
      </c>
      <c r="E11" s="15" t="s">
        <v>65</v>
      </c>
      <c r="F11" s="15" t="s">
        <v>140</v>
      </c>
      <c r="G11" t="s">
        <v>143</v>
      </c>
    </row>
    <row r="12" spans="1:7" x14ac:dyDescent="0.3">
      <c r="A12" s="20">
        <v>46194</v>
      </c>
      <c r="B12" t="s">
        <v>144</v>
      </c>
      <c r="C12" s="11" t="s">
        <v>64</v>
      </c>
      <c r="D12" s="12">
        <v>0.5</v>
      </c>
      <c r="E12" s="12" t="s">
        <v>65</v>
      </c>
      <c r="F12" s="12" t="s">
        <v>67</v>
      </c>
      <c r="G12" t="s">
        <v>145</v>
      </c>
    </row>
    <row r="13" spans="1:7" x14ac:dyDescent="0.3">
      <c r="A13" s="21"/>
      <c r="B13" s="14"/>
      <c r="C13" s="14"/>
      <c r="D13" s="15"/>
      <c r="E13" s="15"/>
      <c r="F13" s="15"/>
      <c r="G13" s="14"/>
    </row>
    <row r="14" spans="1:7" x14ac:dyDescent="0.3">
      <c r="A14" s="20"/>
      <c r="B14" s="11"/>
      <c r="C14" s="11"/>
      <c r="D14" s="12"/>
      <c r="E14" s="12"/>
      <c r="F14" s="12"/>
      <c r="G14" s="11"/>
    </row>
    <row r="15" spans="1:7" x14ac:dyDescent="0.3">
      <c r="A15" s="21"/>
      <c r="B15" s="14"/>
      <c r="C15" s="14"/>
      <c r="D15" s="15"/>
      <c r="E15" s="15"/>
      <c r="F15" s="15"/>
      <c r="G15" s="14"/>
    </row>
    <row r="16" spans="1:7" x14ac:dyDescent="0.3">
      <c r="A16" s="20"/>
      <c r="B16" s="11"/>
      <c r="C16" s="11"/>
      <c r="D16" s="12"/>
      <c r="E16" s="12"/>
      <c r="F16" s="12"/>
      <c r="G16" s="11"/>
    </row>
    <row r="17" spans="1:7" x14ac:dyDescent="0.3">
      <c r="A17" s="21"/>
      <c r="B17" s="14"/>
      <c r="C17" s="14"/>
      <c r="D17" s="15"/>
      <c r="E17" s="15"/>
      <c r="F17" s="15"/>
      <c r="G17" s="14"/>
    </row>
    <row r="18" spans="1:7" x14ac:dyDescent="0.3">
      <c r="A18" s="20"/>
      <c r="B18" s="11"/>
      <c r="C18" s="11"/>
      <c r="D18" s="12"/>
      <c r="E18" s="12"/>
      <c r="F18" s="12"/>
      <c r="G18" s="11"/>
    </row>
    <row r="19" spans="1:7" x14ac:dyDescent="0.3">
      <c r="A19" s="21"/>
      <c r="B19" s="14"/>
      <c r="C19" s="14"/>
      <c r="D19" s="15"/>
      <c r="E19" s="15"/>
      <c r="F19" s="15"/>
      <c r="G19" s="14"/>
    </row>
    <row r="20" spans="1:7" x14ac:dyDescent="0.3">
      <c r="A20" s="20"/>
      <c r="B20" s="11"/>
      <c r="C20" s="11"/>
      <c r="D20" s="12"/>
      <c r="E20" s="12"/>
      <c r="F20" s="12"/>
      <c r="G20" s="11"/>
    </row>
    <row r="21" spans="1:7" x14ac:dyDescent="0.3">
      <c r="A21" s="21"/>
      <c r="B21" s="14"/>
      <c r="C21" s="14"/>
      <c r="D21" s="15"/>
      <c r="E21" s="15"/>
      <c r="F21" s="15"/>
      <c r="G21" s="14"/>
    </row>
    <row r="22" spans="1:7" x14ac:dyDescent="0.3">
      <c r="A22" s="20"/>
      <c r="B22" s="11"/>
      <c r="C22" s="11"/>
      <c r="D22" s="12"/>
      <c r="E22" s="12"/>
      <c r="F22" s="12"/>
      <c r="G22" s="11"/>
    </row>
    <row r="23" spans="1:7" x14ac:dyDescent="0.3">
      <c r="A23" s="21"/>
      <c r="B23" s="14"/>
      <c r="C23" s="14"/>
      <c r="D23" s="15"/>
      <c r="E23" s="15"/>
      <c r="F23" s="15"/>
      <c r="G23" s="14"/>
    </row>
    <row r="24" spans="1:7" x14ac:dyDescent="0.3">
      <c r="A24" s="20"/>
      <c r="B24" s="11"/>
      <c r="C24" s="11"/>
      <c r="D24" s="12"/>
      <c r="E24" s="12"/>
      <c r="F24" s="12"/>
      <c r="G24" s="11"/>
    </row>
    <row r="25" spans="1:7" x14ac:dyDescent="0.3">
      <c r="A25" s="21"/>
      <c r="B25" s="14"/>
      <c r="C25" s="14"/>
      <c r="D25" s="15"/>
      <c r="E25" s="15"/>
      <c r="F25" s="15"/>
      <c r="G25" s="14"/>
    </row>
    <row r="26" spans="1:7" x14ac:dyDescent="0.3">
      <c r="A26" s="20"/>
      <c r="B26" s="11"/>
      <c r="C26" s="11"/>
      <c r="D26" s="12"/>
      <c r="E26" s="12"/>
      <c r="F26" s="12"/>
      <c r="G26" s="11"/>
    </row>
    <row r="27" spans="1:7" x14ac:dyDescent="0.3">
      <c r="A27" s="21"/>
      <c r="B27" s="14"/>
      <c r="C27" s="14"/>
      <c r="D27" s="15"/>
      <c r="E27" s="15"/>
      <c r="F27" s="15"/>
      <c r="G27" s="14"/>
    </row>
    <row r="28" spans="1:7" x14ac:dyDescent="0.3">
      <c r="A28" s="20"/>
      <c r="B28" s="11"/>
      <c r="C28" s="11"/>
      <c r="D28" s="12"/>
      <c r="E28" s="12"/>
      <c r="F28" s="12"/>
      <c r="G28" s="11"/>
    </row>
    <row r="29" spans="1:7" x14ac:dyDescent="0.3">
      <c r="A29" s="21"/>
      <c r="B29" s="14"/>
      <c r="C29" s="14"/>
      <c r="D29" s="15"/>
      <c r="E29" s="15"/>
      <c r="F29" s="15"/>
      <c r="G29" s="14"/>
    </row>
    <row r="30" spans="1:7" x14ac:dyDescent="0.3">
      <c r="A30" s="20"/>
      <c r="B30" s="11"/>
      <c r="C30" s="11"/>
      <c r="D30" s="12"/>
      <c r="E30" s="12"/>
      <c r="F30" s="12"/>
      <c r="G30" s="11"/>
    </row>
    <row r="31" spans="1:7" x14ac:dyDescent="0.3">
      <c r="A31" s="21"/>
      <c r="B31" s="14"/>
      <c r="C31" s="14"/>
      <c r="D31" s="15"/>
      <c r="E31" s="15"/>
      <c r="F31" s="15"/>
      <c r="G31" s="14"/>
    </row>
    <row r="32" spans="1:7" x14ac:dyDescent="0.3">
      <c r="A32" s="20"/>
      <c r="B32" s="11"/>
      <c r="C32" s="11"/>
      <c r="D32" s="12"/>
      <c r="E32" s="12"/>
      <c r="F32" s="12"/>
      <c r="G32" s="11"/>
    </row>
    <row r="33" spans="1:7" x14ac:dyDescent="0.3">
      <c r="A33" s="21"/>
      <c r="B33" s="14"/>
      <c r="C33" s="14"/>
      <c r="D33" s="15"/>
      <c r="E33" s="15"/>
      <c r="F33" s="15"/>
      <c r="G33" s="14"/>
    </row>
    <row r="34" spans="1:7" x14ac:dyDescent="0.3">
      <c r="A34" s="20"/>
      <c r="B34" s="11"/>
      <c r="C34" s="11"/>
      <c r="D34" s="12"/>
      <c r="E34" s="12"/>
      <c r="F34" s="12"/>
      <c r="G34" s="11"/>
    </row>
    <row r="35" spans="1:7" x14ac:dyDescent="0.3">
      <c r="A35" s="21"/>
      <c r="B35" s="14"/>
      <c r="C35" s="14"/>
      <c r="D35" s="15"/>
      <c r="E35" s="15"/>
      <c r="F35" s="15"/>
      <c r="G35" s="14"/>
    </row>
    <row r="36" spans="1:7" x14ac:dyDescent="0.3">
      <c r="A36" s="20"/>
      <c r="B36" s="11"/>
      <c r="C36" s="11"/>
      <c r="D36" s="12"/>
      <c r="E36" s="12"/>
      <c r="F36" s="12"/>
      <c r="G36" s="11"/>
    </row>
    <row r="37" spans="1:7" x14ac:dyDescent="0.3">
      <c r="A37" s="21"/>
      <c r="B37" s="14"/>
      <c r="C37" s="14"/>
      <c r="D37" s="15"/>
      <c r="E37" s="15"/>
      <c r="F37" s="15"/>
      <c r="G37" s="14"/>
    </row>
    <row r="38" spans="1:7" x14ac:dyDescent="0.3">
      <c r="A38" s="20"/>
      <c r="B38" s="11"/>
      <c r="C38" s="11"/>
      <c r="D38" s="12"/>
      <c r="E38" s="12"/>
      <c r="F38" s="12"/>
      <c r="G38" s="11"/>
    </row>
    <row r="39" spans="1:7" x14ac:dyDescent="0.3">
      <c r="A39" s="21"/>
      <c r="B39" s="14"/>
      <c r="C39" s="14"/>
      <c r="D39" s="15"/>
      <c r="E39" s="15"/>
      <c r="F39" s="15"/>
      <c r="G39" s="14"/>
    </row>
    <row r="40" spans="1:7" x14ac:dyDescent="0.3">
      <c r="A40" s="20"/>
      <c r="B40" s="11"/>
      <c r="C40" s="11"/>
      <c r="D40" s="12"/>
      <c r="E40" s="12"/>
      <c r="F40" s="12"/>
      <c r="G40" s="11"/>
    </row>
    <row r="41" spans="1:7" x14ac:dyDescent="0.3">
      <c r="A41" s="21"/>
      <c r="B41" s="14"/>
      <c r="C41" s="14"/>
      <c r="D41" s="15"/>
      <c r="E41" s="15"/>
      <c r="F41" s="15"/>
      <c r="G41" s="14"/>
    </row>
    <row r="42" spans="1:7" x14ac:dyDescent="0.3">
      <c r="A42" s="20"/>
      <c r="B42" s="11"/>
      <c r="C42" s="11"/>
      <c r="D42" s="12"/>
      <c r="E42" s="12"/>
      <c r="F42" s="12"/>
      <c r="G42" s="11"/>
    </row>
    <row r="43" spans="1:7" x14ac:dyDescent="0.3">
      <c r="A43" s="21"/>
      <c r="B43" s="14"/>
      <c r="C43" s="14"/>
      <c r="D43" s="15"/>
      <c r="E43" s="15"/>
      <c r="F43" s="15"/>
      <c r="G43" s="14"/>
    </row>
    <row r="44" spans="1:7" x14ac:dyDescent="0.3">
      <c r="A44" s="20"/>
      <c r="B44" s="11"/>
      <c r="C44" s="11"/>
      <c r="D44" s="12"/>
      <c r="E44" s="12"/>
      <c r="F44" s="12"/>
      <c r="G44" s="11"/>
    </row>
    <row r="45" spans="1:7" x14ac:dyDescent="0.3">
      <c r="A45" s="21"/>
      <c r="B45" s="14"/>
      <c r="C45" s="14"/>
      <c r="D45" s="15"/>
      <c r="E45" s="15"/>
      <c r="F45" s="15"/>
      <c r="G45" s="14"/>
    </row>
    <row r="46" spans="1:7" x14ac:dyDescent="0.3">
      <c r="A46" s="20"/>
      <c r="B46" s="11"/>
      <c r="C46" s="11"/>
      <c r="D46" s="12"/>
      <c r="E46" s="12"/>
      <c r="F46" s="12"/>
      <c r="G46" s="11"/>
    </row>
    <row r="47" spans="1:7" x14ac:dyDescent="0.3">
      <c r="A47" s="21"/>
      <c r="B47" s="14"/>
      <c r="C47" s="14"/>
      <c r="D47" s="15"/>
      <c r="E47" s="15"/>
      <c r="F47" s="15"/>
      <c r="G47" s="14"/>
    </row>
    <row r="48" spans="1:7" x14ac:dyDescent="0.3">
      <c r="A48" s="20"/>
      <c r="B48" s="11"/>
      <c r="C48" s="11"/>
      <c r="D48" s="12"/>
      <c r="E48" s="12"/>
      <c r="F48" s="12"/>
      <c r="G48" s="11"/>
    </row>
    <row r="49" spans="1:7" x14ac:dyDescent="0.3">
      <c r="A49" s="21"/>
      <c r="B49" s="14"/>
      <c r="C49" s="14"/>
      <c r="D49" s="15"/>
      <c r="E49" s="15"/>
      <c r="F49" s="15"/>
      <c r="G49" s="14"/>
    </row>
    <row r="50" spans="1:7" x14ac:dyDescent="0.3">
      <c r="A50" s="20"/>
      <c r="B50" s="11"/>
      <c r="C50" s="11"/>
      <c r="D50" s="12"/>
      <c r="E50" s="12"/>
      <c r="F50" s="12"/>
      <c r="G50" s="11"/>
    </row>
    <row r="51" spans="1:7" x14ac:dyDescent="0.3">
      <c r="A51" s="21"/>
      <c r="B51" s="14"/>
      <c r="C51" s="14"/>
      <c r="D51" s="15"/>
      <c r="E51" s="15"/>
      <c r="F51" s="15"/>
      <c r="G51" s="14"/>
    </row>
    <row r="52" spans="1:7" x14ac:dyDescent="0.3">
      <c r="A52" s="20"/>
      <c r="B52" s="11"/>
      <c r="C52" s="11"/>
      <c r="D52" s="12"/>
      <c r="E52" s="12"/>
      <c r="F52" s="12"/>
      <c r="G52" s="11"/>
    </row>
    <row r="53" spans="1:7" x14ac:dyDescent="0.3">
      <c r="A53" s="21"/>
      <c r="B53" s="14"/>
      <c r="C53" s="14"/>
      <c r="D53" s="15"/>
      <c r="E53" s="15"/>
      <c r="F53" s="15"/>
      <c r="G53" s="14"/>
    </row>
    <row r="54" spans="1:7" x14ac:dyDescent="0.3">
      <c r="A54" s="20"/>
      <c r="B54" s="11"/>
      <c r="C54" s="11"/>
      <c r="D54" s="12"/>
      <c r="E54" s="12"/>
      <c r="F54" s="12"/>
      <c r="G54" s="11"/>
    </row>
    <row r="55" spans="1:7" x14ac:dyDescent="0.3">
      <c r="A55" s="21"/>
      <c r="B55" s="14"/>
      <c r="C55" s="14"/>
      <c r="D55" s="15"/>
      <c r="E55" s="15"/>
      <c r="F55" s="15"/>
      <c r="G55" s="14"/>
    </row>
    <row r="56" spans="1:7" x14ac:dyDescent="0.3">
      <c r="A56" s="20"/>
      <c r="B56" s="11"/>
      <c r="C56" s="11"/>
      <c r="D56" s="12"/>
      <c r="E56" s="12"/>
      <c r="F56" s="12"/>
      <c r="G56" s="11"/>
    </row>
    <row r="57" spans="1:7" x14ac:dyDescent="0.3">
      <c r="A57" s="21"/>
      <c r="B57" s="14"/>
      <c r="C57" s="14"/>
      <c r="D57" s="15"/>
      <c r="E57" s="15"/>
      <c r="F57" s="15"/>
      <c r="G57" s="14"/>
    </row>
    <row r="58" spans="1:7" x14ac:dyDescent="0.3">
      <c r="A58" s="20"/>
      <c r="B58" s="11"/>
      <c r="C58" s="11"/>
      <c r="D58" s="12"/>
      <c r="E58" s="12"/>
      <c r="F58" s="12"/>
      <c r="G58" s="11"/>
    </row>
    <row r="59" spans="1:7" x14ac:dyDescent="0.3">
      <c r="A59" s="21"/>
      <c r="B59" s="14"/>
      <c r="C59" s="14"/>
      <c r="D59" s="15"/>
      <c r="E59" s="15"/>
      <c r="F59" s="15"/>
      <c r="G59" s="14"/>
    </row>
    <row r="60" spans="1:7" x14ac:dyDescent="0.3">
      <c r="A60" s="20"/>
      <c r="B60" s="11"/>
      <c r="C60" s="11"/>
      <c r="D60" s="12"/>
      <c r="E60" s="12"/>
      <c r="F60" s="12"/>
      <c r="G60" s="11"/>
    </row>
    <row r="61" spans="1:7" x14ac:dyDescent="0.3">
      <c r="A61" s="21"/>
      <c r="B61" s="14"/>
      <c r="C61" s="14"/>
      <c r="D61" s="15"/>
      <c r="E61" s="15"/>
      <c r="F61" s="15"/>
      <c r="G61" s="14"/>
    </row>
    <row r="62" spans="1:7" x14ac:dyDescent="0.3">
      <c r="A62" s="20"/>
      <c r="B62" s="11"/>
      <c r="C62" s="11"/>
      <c r="D62" s="12"/>
      <c r="E62" s="12"/>
      <c r="F62" s="12"/>
      <c r="G62" s="11"/>
    </row>
    <row r="63" spans="1:7" x14ac:dyDescent="0.3">
      <c r="A63" s="21"/>
      <c r="B63" s="14"/>
      <c r="C63" s="14"/>
      <c r="D63" s="15"/>
      <c r="E63" s="15"/>
      <c r="F63" s="15"/>
      <c r="G63" s="14"/>
    </row>
    <row r="64" spans="1:7" x14ac:dyDescent="0.3">
      <c r="A64" s="20"/>
      <c r="B64" s="11"/>
      <c r="C64" s="11"/>
      <c r="D64" s="12"/>
      <c r="E64" s="12"/>
      <c r="F64" s="12"/>
      <c r="G64" s="11"/>
    </row>
    <row r="65" spans="1:7" x14ac:dyDescent="0.3">
      <c r="A65" s="21"/>
      <c r="B65" s="14"/>
      <c r="C65" s="14"/>
      <c r="D65" s="15"/>
      <c r="E65" s="15"/>
      <c r="F65" s="15"/>
      <c r="G65" s="14"/>
    </row>
    <row r="66" spans="1:7" x14ac:dyDescent="0.3">
      <c r="A66" s="20"/>
      <c r="B66" s="11"/>
      <c r="C66" s="11"/>
      <c r="D66" s="12"/>
      <c r="E66" s="12"/>
      <c r="F66" s="12"/>
      <c r="G66" s="11"/>
    </row>
    <row r="67" spans="1:7" x14ac:dyDescent="0.3">
      <c r="A67" s="21"/>
      <c r="B67" s="14"/>
      <c r="C67" s="14"/>
      <c r="D67" s="15"/>
      <c r="E67" s="15"/>
      <c r="F67" s="15"/>
      <c r="G67" s="14"/>
    </row>
    <row r="68" spans="1:7" x14ac:dyDescent="0.3">
      <c r="A68" s="20"/>
      <c r="B68" s="11"/>
      <c r="C68" s="11"/>
      <c r="D68" s="12"/>
      <c r="E68" s="12"/>
      <c r="F68" s="12"/>
      <c r="G68" s="11"/>
    </row>
    <row r="69" spans="1:7" x14ac:dyDescent="0.3">
      <c r="A69" s="21"/>
      <c r="B69" s="14"/>
      <c r="C69" s="14"/>
      <c r="D69" s="15"/>
      <c r="E69" s="15"/>
      <c r="F69" s="15"/>
      <c r="G69" s="14"/>
    </row>
    <row r="70" spans="1:7" x14ac:dyDescent="0.3">
      <c r="A70" s="20"/>
      <c r="B70" s="11"/>
      <c r="C70" s="11"/>
      <c r="D70" s="12"/>
      <c r="E70" s="12"/>
      <c r="F70" s="12"/>
      <c r="G70" s="11"/>
    </row>
    <row r="71" spans="1:7" x14ac:dyDescent="0.3">
      <c r="A71" s="21"/>
      <c r="B71" s="14"/>
      <c r="C71" s="14"/>
      <c r="D71" s="15"/>
      <c r="E71" s="15"/>
      <c r="F71" s="15"/>
      <c r="G71" s="14"/>
    </row>
    <row r="72" spans="1:7" x14ac:dyDescent="0.3">
      <c r="A72" s="20"/>
      <c r="B72" s="11"/>
      <c r="C72" s="11"/>
      <c r="D72" s="12"/>
      <c r="E72" s="12"/>
      <c r="F72" s="12"/>
      <c r="G72" s="11"/>
    </row>
    <row r="73" spans="1:7" x14ac:dyDescent="0.3">
      <c r="A73" s="21"/>
      <c r="B73" s="14"/>
      <c r="C73" s="14"/>
      <c r="D73" s="15"/>
      <c r="E73" s="15"/>
      <c r="F73" s="15"/>
      <c r="G73" s="14"/>
    </row>
    <row r="74" spans="1:7" x14ac:dyDescent="0.3">
      <c r="A74" s="20"/>
      <c r="B74" s="11"/>
      <c r="C74" s="11"/>
      <c r="D74" s="12"/>
      <c r="E74" s="12"/>
      <c r="F74" s="12"/>
      <c r="G74" s="11"/>
    </row>
    <row r="75" spans="1:7" x14ac:dyDescent="0.3">
      <c r="A75" s="21"/>
      <c r="B75" s="14"/>
      <c r="C75" s="14"/>
      <c r="D75" s="15"/>
      <c r="E75" s="15"/>
      <c r="F75" s="15"/>
      <c r="G75" s="14"/>
    </row>
    <row r="76" spans="1:7" x14ac:dyDescent="0.3">
      <c r="A76" s="20"/>
      <c r="B76" s="11"/>
      <c r="C76" s="11"/>
      <c r="D76" s="12"/>
      <c r="E76" s="12"/>
      <c r="F76" s="12"/>
      <c r="G76" s="11"/>
    </row>
    <row r="77" spans="1:7" x14ac:dyDescent="0.3">
      <c r="A77" s="21"/>
      <c r="B77" s="14"/>
      <c r="C77" s="14"/>
      <c r="D77" s="15"/>
      <c r="E77" s="15"/>
      <c r="F77" s="15"/>
      <c r="G77" s="14"/>
    </row>
    <row r="78" spans="1:7" x14ac:dyDescent="0.3">
      <c r="A78" s="20"/>
      <c r="B78" s="11"/>
      <c r="C78" s="11"/>
      <c r="D78" s="12"/>
      <c r="E78" s="12"/>
      <c r="F78" s="12"/>
      <c r="G78" s="11"/>
    </row>
    <row r="79" spans="1:7" x14ac:dyDescent="0.3">
      <c r="A79" s="21"/>
      <c r="B79" s="14"/>
      <c r="C79" s="14"/>
      <c r="D79" s="15"/>
      <c r="E79" s="15"/>
      <c r="F79" s="15"/>
      <c r="G79" s="14"/>
    </row>
    <row r="80" spans="1:7" x14ac:dyDescent="0.3">
      <c r="A80" s="20"/>
      <c r="B80" s="11"/>
      <c r="C80" s="11"/>
      <c r="D80" s="12"/>
      <c r="E80" s="12"/>
      <c r="F80" s="12"/>
      <c r="G80" s="11"/>
    </row>
    <row r="81" spans="1:7" x14ac:dyDescent="0.3">
      <c r="A81" s="21"/>
      <c r="B81" s="14"/>
      <c r="C81" s="14"/>
      <c r="D81" s="15"/>
      <c r="E81" s="15"/>
      <c r="F81" s="15"/>
      <c r="G81" s="14"/>
    </row>
    <row r="82" spans="1:7" x14ac:dyDescent="0.3">
      <c r="A82" s="20"/>
      <c r="B82" s="11"/>
      <c r="C82" s="11"/>
      <c r="D82" s="12"/>
      <c r="E82" s="12"/>
      <c r="F82" s="12"/>
      <c r="G82" s="11"/>
    </row>
    <row r="83" spans="1:7" x14ac:dyDescent="0.3">
      <c r="A83" s="21"/>
      <c r="B83" s="14"/>
      <c r="C83" s="14"/>
      <c r="D83" s="15"/>
      <c r="E83" s="15"/>
      <c r="F83" s="15"/>
      <c r="G83" s="14"/>
    </row>
    <row r="84" spans="1:7" x14ac:dyDescent="0.3">
      <c r="A84" s="20"/>
      <c r="B84" s="11"/>
      <c r="C84" s="11"/>
      <c r="D84" s="12"/>
      <c r="E84" s="12"/>
      <c r="F84" s="12"/>
      <c r="G84" s="11"/>
    </row>
    <row r="85" spans="1:7" x14ac:dyDescent="0.3">
      <c r="A85" s="21"/>
      <c r="B85" s="14"/>
      <c r="C85" s="14"/>
      <c r="D85" s="15"/>
      <c r="E85" s="15"/>
      <c r="F85" s="15"/>
      <c r="G85" s="14"/>
    </row>
    <row r="86" spans="1:7" x14ac:dyDescent="0.3">
      <c r="A86" s="20"/>
      <c r="B86" s="11"/>
      <c r="C86" s="11"/>
      <c r="D86" s="12"/>
      <c r="E86" s="12"/>
      <c r="F86" s="12"/>
      <c r="G86" s="11"/>
    </row>
    <row r="87" spans="1:7" x14ac:dyDescent="0.3">
      <c r="A87" s="21"/>
      <c r="B87" s="14"/>
      <c r="C87" s="14"/>
      <c r="D87" s="15"/>
      <c r="E87" s="15"/>
      <c r="F87" s="15"/>
      <c r="G87" s="14"/>
    </row>
    <row r="88" spans="1:7" x14ac:dyDescent="0.3">
      <c r="A88" s="20"/>
      <c r="B88" s="11"/>
      <c r="C88" s="11"/>
      <c r="D88" s="12"/>
      <c r="E88" s="12"/>
      <c r="F88" s="12"/>
      <c r="G88" s="11"/>
    </row>
    <row r="89" spans="1:7" x14ac:dyDescent="0.3">
      <c r="A89" s="21"/>
      <c r="B89" s="14"/>
      <c r="C89" s="14"/>
      <c r="D89" s="15"/>
      <c r="E89" s="15"/>
      <c r="F89" s="15"/>
      <c r="G89" s="14"/>
    </row>
    <row r="90" spans="1:7" x14ac:dyDescent="0.3">
      <c r="A90" s="20"/>
      <c r="B90" s="11"/>
      <c r="C90" s="11"/>
      <c r="D90" s="12"/>
      <c r="E90" s="12"/>
      <c r="F90" s="12"/>
      <c r="G90" s="11"/>
    </row>
    <row r="91" spans="1:7" x14ac:dyDescent="0.3">
      <c r="A91" s="21"/>
      <c r="B91" s="14"/>
      <c r="C91" s="14"/>
      <c r="D91" s="15"/>
      <c r="E91" s="15"/>
      <c r="F91" s="15"/>
      <c r="G91" s="14"/>
    </row>
    <row r="92" spans="1:7" x14ac:dyDescent="0.3">
      <c r="A92" s="20"/>
      <c r="B92" s="11"/>
      <c r="C92" s="11"/>
      <c r="D92" s="12"/>
      <c r="E92" s="12"/>
      <c r="F92" s="12"/>
      <c r="G92" s="11"/>
    </row>
    <row r="93" spans="1:7" x14ac:dyDescent="0.3">
      <c r="A93" s="21"/>
      <c r="B93" s="14"/>
      <c r="C93" s="14"/>
      <c r="D93" s="15"/>
      <c r="E93" s="15"/>
      <c r="F93" s="15"/>
      <c r="G93" s="14"/>
    </row>
    <row r="94" spans="1:7" x14ac:dyDescent="0.3">
      <c r="A94" s="20"/>
      <c r="B94" s="11"/>
      <c r="C94" s="11"/>
      <c r="D94" s="12"/>
      <c r="E94" s="12"/>
      <c r="F94" s="12"/>
      <c r="G94" s="11"/>
    </row>
    <row r="95" spans="1:7" x14ac:dyDescent="0.3">
      <c r="A95" s="21"/>
      <c r="B95" s="14"/>
      <c r="C95" s="14"/>
      <c r="D95" s="15"/>
      <c r="E95" s="15"/>
      <c r="F95" s="15"/>
      <c r="G95" s="14"/>
    </row>
    <row r="96" spans="1:7" x14ac:dyDescent="0.3">
      <c r="A96" s="20"/>
      <c r="B96" s="11"/>
      <c r="C96" s="11"/>
      <c r="D96" s="12"/>
      <c r="E96" s="12"/>
      <c r="F96" s="12"/>
      <c r="G96" s="11"/>
    </row>
    <row r="97" spans="1:7" x14ac:dyDescent="0.3">
      <c r="A97" s="21"/>
      <c r="B97" s="14"/>
      <c r="C97" s="14"/>
      <c r="D97" s="15"/>
      <c r="E97" s="15"/>
      <c r="F97" s="15"/>
      <c r="G97" s="14"/>
    </row>
    <row r="98" spans="1:7" x14ac:dyDescent="0.3">
      <c r="A98" s="20"/>
      <c r="B98" s="11"/>
      <c r="C98" s="11"/>
      <c r="D98" s="12"/>
      <c r="E98" s="12"/>
      <c r="F98" s="12"/>
      <c r="G98" s="11"/>
    </row>
    <row r="99" spans="1:7" x14ac:dyDescent="0.3">
      <c r="A99" s="21"/>
      <c r="B99" s="14"/>
      <c r="C99" s="14"/>
      <c r="D99" s="15"/>
      <c r="E99" s="15"/>
      <c r="F99" s="15"/>
      <c r="G99" s="14"/>
    </row>
    <row r="100" spans="1:7" x14ac:dyDescent="0.3">
      <c r="A100" s="20"/>
      <c r="B100" s="11"/>
      <c r="C100" s="11"/>
      <c r="D100" s="12"/>
      <c r="E100" s="12"/>
      <c r="F100" s="12"/>
      <c r="G100" s="11"/>
    </row>
    <row r="101" spans="1:7" x14ac:dyDescent="0.3">
      <c r="A101" s="21"/>
      <c r="B101" s="14"/>
      <c r="C101" s="14"/>
      <c r="D101" s="15"/>
      <c r="E101" s="15"/>
      <c r="F101" s="15"/>
      <c r="G101" s="14"/>
    </row>
    <row r="102" spans="1:7" x14ac:dyDescent="0.3">
      <c r="A102" s="20"/>
      <c r="B102" s="11"/>
      <c r="C102" s="11"/>
      <c r="D102" s="12"/>
      <c r="E102" s="12"/>
      <c r="F102" s="12"/>
      <c r="G102" s="11"/>
    </row>
    <row r="103" spans="1:7" x14ac:dyDescent="0.3">
      <c r="A103" s="21"/>
      <c r="B103" s="14"/>
      <c r="C103" s="14"/>
      <c r="D103" s="15"/>
      <c r="E103" s="15"/>
      <c r="F103" s="15"/>
      <c r="G103" s="14"/>
    </row>
    <row r="104" spans="1:7" x14ac:dyDescent="0.3">
      <c r="A104" s="20"/>
      <c r="B104" s="11"/>
      <c r="C104" s="11"/>
      <c r="D104" s="12"/>
      <c r="E104" s="12"/>
      <c r="F104" s="12"/>
      <c r="G104" s="11"/>
    </row>
    <row r="105" spans="1:7" x14ac:dyDescent="0.3">
      <c r="A105" s="21"/>
      <c r="B105" s="14"/>
      <c r="C105" s="14"/>
      <c r="D105" s="15"/>
      <c r="E105" s="15"/>
      <c r="F105" s="15"/>
      <c r="G105" s="14"/>
    </row>
    <row r="106" spans="1:7" x14ac:dyDescent="0.3">
      <c r="A106" s="20"/>
      <c r="B106" s="11"/>
      <c r="C106" s="11"/>
      <c r="D106" s="12"/>
      <c r="E106" s="12"/>
      <c r="F106" s="12"/>
      <c r="G106" s="11"/>
    </row>
    <row r="107" spans="1:7" x14ac:dyDescent="0.3">
      <c r="A107" s="21"/>
      <c r="B107" s="14"/>
      <c r="C107" s="14"/>
      <c r="D107" s="15"/>
      <c r="E107" s="15"/>
      <c r="F107" s="15"/>
      <c r="G107" s="14"/>
    </row>
    <row r="108" spans="1:7" x14ac:dyDescent="0.3">
      <c r="A108" s="20"/>
      <c r="B108" s="11"/>
      <c r="C108" s="11"/>
      <c r="D108" s="12"/>
      <c r="E108" s="12"/>
      <c r="F108" s="12"/>
      <c r="G108" s="11"/>
    </row>
    <row r="109" spans="1:7" x14ac:dyDescent="0.3">
      <c r="A109" s="21"/>
      <c r="B109" s="14"/>
      <c r="C109" s="14"/>
      <c r="D109" s="15"/>
      <c r="E109" s="15"/>
      <c r="F109" s="15"/>
      <c r="G109" s="14"/>
    </row>
    <row r="110" spans="1:7" x14ac:dyDescent="0.3">
      <c r="A110" s="20"/>
      <c r="B110" s="11"/>
      <c r="C110" s="11"/>
      <c r="D110" s="12"/>
      <c r="E110" s="12"/>
      <c r="F110" s="12"/>
      <c r="G110" s="11"/>
    </row>
    <row r="111" spans="1:7" x14ac:dyDescent="0.3">
      <c r="A111" s="21"/>
      <c r="B111" s="14"/>
      <c r="C111" s="14"/>
      <c r="D111" s="15"/>
      <c r="E111" s="15"/>
      <c r="F111" s="15"/>
      <c r="G111" s="14"/>
    </row>
    <row r="112" spans="1:7" x14ac:dyDescent="0.3">
      <c r="A112" s="20"/>
      <c r="B112" s="11"/>
      <c r="C112" s="11"/>
      <c r="D112" s="12"/>
      <c r="E112" s="12"/>
      <c r="F112" s="12"/>
      <c r="G112" s="11"/>
    </row>
    <row r="113" spans="1:7" x14ac:dyDescent="0.3">
      <c r="A113" s="21"/>
      <c r="B113" s="14"/>
      <c r="C113" s="14"/>
      <c r="D113" s="15"/>
      <c r="E113" s="15"/>
      <c r="F113" s="15"/>
      <c r="G113" s="14"/>
    </row>
    <row r="114" spans="1:7" x14ac:dyDescent="0.3">
      <c r="A114" s="20"/>
      <c r="B114" s="11"/>
      <c r="C114" s="11"/>
      <c r="D114" s="12"/>
      <c r="E114" s="12"/>
      <c r="F114" s="12"/>
      <c r="G114" s="11"/>
    </row>
    <row r="115" spans="1:7" x14ac:dyDescent="0.3">
      <c r="A115" s="21"/>
      <c r="B115" s="14"/>
      <c r="C115" s="14"/>
      <c r="D115" s="15"/>
      <c r="E115" s="15"/>
      <c r="F115" s="15"/>
      <c r="G115" s="14"/>
    </row>
    <row r="116" spans="1:7" x14ac:dyDescent="0.3">
      <c r="A116" s="20"/>
      <c r="B116" s="11"/>
      <c r="C116" s="11"/>
      <c r="D116" s="12"/>
      <c r="E116" s="12"/>
      <c r="F116" s="12"/>
      <c r="G116" s="11"/>
    </row>
    <row r="117" spans="1:7" x14ac:dyDescent="0.3">
      <c r="A117" s="21"/>
      <c r="B117" s="14"/>
      <c r="C117" s="14"/>
      <c r="D117" s="15"/>
      <c r="E117" s="15"/>
      <c r="F117" s="15"/>
      <c r="G117" s="14"/>
    </row>
    <row r="118" spans="1:7" x14ac:dyDescent="0.3">
      <c r="A118" s="20"/>
      <c r="B118" s="11"/>
      <c r="C118" s="11"/>
      <c r="D118" s="12"/>
      <c r="E118" s="12"/>
      <c r="F118" s="12"/>
      <c r="G118" s="11"/>
    </row>
    <row r="119" spans="1:7" x14ac:dyDescent="0.3">
      <c r="A119" s="21"/>
      <c r="B119" s="14"/>
      <c r="C119" s="14"/>
      <c r="D119" s="15"/>
      <c r="E119" s="15"/>
      <c r="F119" s="15"/>
      <c r="G119" s="14"/>
    </row>
    <row r="120" spans="1:7" x14ac:dyDescent="0.3">
      <c r="A120" s="20"/>
      <c r="B120" s="11"/>
      <c r="C120" s="11"/>
      <c r="D120" s="12"/>
      <c r="E120" s="12"/>
      <c r="F120" s="12"/>
      <c r="G120" s="11"/>
    </row>
    <row r="121" spans="1:7" x14ac:dyDescent="0.3">
      <c r="A121" s="21"/>
      <c r="B121" s="14"/>
      <c r="C121" s="14"/>
      <c r="D121" s="15"/>
      <c r="E121" s="15"/>
      <c r="F121" s="15"/>
      <c r="G121" s="14"/>
    </row>
    <row r="122" spans="1:7" x14ac:dyDescent="0.3">
      <c r="A122" s="20"/>
      <c r="B122" s="11"/>
      <c r="C122" s="11"/>
      <c r="D122" s="12"/>
      <c r="E122" s="12"/>
      <c r="F122" s="12"/>
      <c r="G122" s="11"/>
    </row>
    <row r="123" spans="1:7" x14ac:dyDescent="0.3">
      <c r="A123" s="21"/>
      <c r="B123" s="14"/>
      <c r="C123" s="14"/>
      <c r="D123" s="15"/>
      <c r="E123" s="15"/>
      <c r="F123" s="15"/>
      <c r="G123" s="14"/>
    </row>
    <row r="124" spans="1:7" x14ac:dyDescent="0.3">
      <c r="A124" s="20"/>
      <c r="B124" s="11"/>
      <c r="C124" s="11"/>
      <c r="D124" s="12"/>
      <c r="E124" s="12"/>
      <c r="F124" s="12"/>
      <c r="G124" s="11"/>
    </row>
    <row r="125" spans="1:7" x14ac:dyDescent="0.3">
      <c r="A125" s="21"/>
      <c r="B125" s="14"/>
      <c r="C125" s="14"/>
      <c r="D125" s="15"/>
      <c r="E125" s="15"/>
      <c r="F125" s="15"/>
      <c r="G125" s="14"/>
    </row>
    <row r="126" spans="1:7" x14ac:dyDescent="0.3">
      <c r="A126" s="20"/>
      <c r="B126" s="11"/>
      <c r="C126" s="11"/>
      <c r="D126" s="12"/>
      <c r="E126" s="12"/>
      <c r="F126" s="12"/>
      <c r="G126" s="11"/>
    </row>
    <row r="127" spans="1:7" x14ac:dyDescent="0.3">
      <c r="A127" s="21"/>
      <c r="B127" s="14"/>
      <c r="C127" s="14"/>
      <c r="D127" s="15"/>
      <c r="E127" s="15"/>
      <c r="F127" s="15"/>
      <c r="G127" s="14"/>
    </row>
    <row r="128" spans="1:7" x14ac:dyDescent="0.3">
      <c r="A128" s="20"/>
      <c r="B128" s="11"/>
      <c r="C128" s="11"/>
      <c r="D128" s="12"/>
      <c r="E128" s="12"/>
      <c r="F128" s="12"/>
      <c r="G128" s="11"/>
    </row>
    <row r="129" spans="1:7" x14ac:dyDescent="0.3">
      <c r="A129" s="21"/>
      <c r="B129" s="14"/>
      <c r="C129" s="14"/>
      <c r="D129" s="15"/>
      <c r="E129" s="15"/>
      <c r="F129" s="15"/>
      <c r="G129" s="14"/>
    </row>
    <row r="130" spans="1:7" x14ac:dyDescent="0.3">
      <c r="A130" s="20"/>
      <c r="B130" s="11"/>
      <c r="C130" s="11"/>
      <c r="D130" s="12"/>
      <c r="E130" s="12"/>
      <c r="F130" s="12"/>
      <c r="G130" s="11"/>
    </row>
    <row r="131" spans="1:7" x14ac:dyDescent="0.3">
      <c r="A131" s="21"/>
      <c r="B131" s="14"/>
      <c r="C131" s="14"/>
      <c r="D131" s="15"/>
      <c r="E131" s="15"/>
      <c r="F131" s="15"/>
      <c r="G131" s="14"/>
    </row>
    <row r="132" spans="1:7" x14ac:dyDescent="0.3">
      <c r="A132" s="20"/>
      <c r="B132" s="11"/>
      <c r="C132" s="11"/>
      <c r="D132" s="12"/>
      <c r="E132" s="12"/>
      <c r="F132" s="12"/>
      <c r="G132" s="11"/>
    </row>
    <row r="133" spans="1:7" x14ac:dyDescent="0.3">
      <c r="A133" s="21"/>
      <c r="B133" s="14"/>
      <c r="C133" s="14"/>
      <c r="D133" s="15"/>
      <c r="E133" s="15"/>
      <c r="F133" s="15"/>
      <c r="G133" s="14"/>
    </row>
    <row r="134" spans="1:7" x14ac:dyDescent="0.3">
      <c r="A134" s="20"/>
      <c r="B134" s="11"/>
      <c r="C134" s="11"/>
      <c r="D134" s="12"/>
      <c r="E134" s="12"/>
      <c r="F134" s="12"/>
      <c r="G134" s="11"/>
    </row>
    <row r="135" spans="1:7" x14ac:dyDescent="0.3">
      <c r="A135" s="21"/>
      <c r="B135" s="14"/>
      <c r="C135" s="14"/>
      <c r="D135" s="15"/>
      <c r="E135" s="15"/>
      <c r="F135" s="15"/>
      <c r="G135" s="14"/>
    </row>
    <row r="136" spans="1:7" x14ac:dyDescent="0.3">
      <c r="A136" s="20"/>
      <c r="B136" s="11"/>
      <c r="C136" s="11"/>
      <c r="D136" s="12"/>
      <c r="E136" s="12"/>
      <c r="F136" s="12"/>
      <c r="G136" s="11"/>
    </row>
    <row r="137" spans="1:7" x14ac:dyDescent="0.3">
      <c r="A137" s="21"/>
      <c r="B137" s="14"/>
      <c r="C137" s="14"/>
      <c r="D137" s="15"/>
      <c r="E137" s="15"/>
      <c r="F137" s="15"/>
      <c r="G137" s="14"/>
    </row>
    <row r="138" spans="1:7" x14ac:dyDescent="0.3">
      <c r="A138" s="20"/>
      <c r="B138" s="11"/>
      <c r="C138" s="11"/>
      <c r="D138" s="12"/>
      <c r="E138" s="12"/>
      <c r="F138" s="12"/>
      <c r="G138" s="11"/>
    </row>
    <row r="139" spans="1:7" x14ac:dyDescent="0.3">
      <c r="A139" s="21"/>
      <c r="B139" s="14"/>
      <c r="C139" s="14"/>
      <c r="D139" s="15"/>
      <c r="E139" s="15"/>
      <c r="F139" s="15"/>
      <c r="G139" s="14"/>
    </row>
    <row r="140" spans="1:7" x14ac:dyDescent="0.3">
      <c r="A140" s="20"/>
      <c r="B140" s="11"/>
      <c r="C140" s="11"/>
      <c r="D140" s="12"/>
      <c r="E140" s="12"/>
      <c r="F140" s="12"/>
      <c r="G140" s="11"/>
    </row>
    <row r="141" spans="1:7" x14ac:dyDescent="0.3">
      <c r="A141" s="21"/>
      <c r="B141" s="14"/>
      <c r="C141" s="14"/>
      <c r="D141" s="15"/>
      <c r="E141" s="15"/>
      <c r="F141" s="15"/>
      <c r="G141" s="14"/>
    </row>
    <row r="142" spans="1:7" x14ac:dyDescent="0.3">
      <c r="A142" s="20"/>
      <c r="B142" s="11"/>
      <c r="C142" s="11"/>
      <c r="D142" s="12"/>
      <c r="E142" s="12"/>
      <c r="F142" s="12"/>
      <c r="G142" s="11"/>
    </row>
    <row r="143" spans="1:7" x14ac:dyDescent="0.3">
      <c r="A143" s="21"/>
      <c r="B143" s="14"/>
      <c r="C143" s="14"/>
      <c r="D143" s="15"/>
      <c r="E143" s="15"/>
      <c r="F143" s="15"/>
      <c r="G143" s="14"/>
    </row>
    <row r="144" spans="1:7" x14ac:dyDescent="0.3">
      <c r="A144" s="20"/>
      <c r="B144" s="11"/>
      <c r="C144" s="11"/>
      <c r="D144" s="12"/>
      <c r="E144" s="12"/>
      <c r="F144" s="12"/>
      <c r="G144" s="11"/>
    </row>
    <row r="145" spans="1:7" x14ac:dyDescent="0.3">
      <c r="A145" s="21"/>
      <c r="B145" s="14"/>
      <c r="C145" s="14"/>
      <c r="D145" s="15"/>
      <c r="E145" s="15"/>
      <c r="F145" s="15"/>
      <c r="G145" s="14"/>
    </row>
    <row r="146" spans="1:7" x14ac:dyDescent="0.3">
      <c r="A146" s="20"/>
      <c r="B146" s="11"/>
      <c r="C146" s="11"/>
      <c r="D146" s="12"/>
      <c r="E146" s="12"/>
      <c r="F146" s="12"/>
      <c r="G146" s="11"/>
    </row>
    <row r="147" spans="1:7" x14ac:dyDescent="0.3">
      <c r="A147" s="21"/>
      <c r="B147" s="14"/>
      <c r="C147" s="14"/>
      <c r="D147" s="15"/>
      <c r="E147" s="15"/>
      <c r="F147" s="15"/>
      <c r="G147" s="14"/>
    </row>
    <row r="148" spans="1:7" x14ac:dyDescent="0.3">
      <c r="A148" s="20"/>
      <c r="B148" s="11"/>
      <c r="C148" s="11"/>
      <c r="D148" s="12"/>
      <c r="E148" s="12"/>
      <c r="F148" s="12"/>
      <c r="G148" s="11"/>
    </row>
    <row r="149" spans="1:7" x14ac:dyDescent="0.3">
      <c r="A149" s="21"/>
      <c r="B149" s="14"/>
      <c r="C149" s="14"/>
      <c r="D149" s="15"/>
      <c r="E149" s="15"/>
      <c r="F149" s="15"/>
      <c r="G149" s="14"/>
    </row>
    <row r="150" spans="1:7" x14ac:dyDescent="0.3">
      <c r="A150" s="20"/>
      <c r="B150" s="11"/>
      <c r="C150" s="11"/>
      <c r="D150" s="12"/>
      <c r="E150" s="12"/>
      <c r="F150" s="12"/>
      <c r="G150" s="11"/>
    </row>
    <row r="151" spans="1:7" x14ac:dyDescent="0.3">
      <c r="A151" s="21"/>
      <c r="B151" s="14"/>
      <c r="C151" s="14"/>
      <c r="D151" s="15"/>
      <c r="E151" s="15"/>
      <c r="F151" s="15"/>
      <c r="G151" s="14"/>
    </row>
    <row r="152" spans="1:7" x14ac:dyDescent="0.3">
      <c r="A152" s="20"/>
      <c r="B152" s="11"/>
      <c r="C152" s="11"/>
      <c r="D152" s="12"/>
      <c r="E152" s="12"/>
      <c r="F152" s="12"/>
      <c r="G152" s="11"/>
    </row>
    <row r="153" spans="1:7" x14ac:dyDescent="0.3">
      <c r="A153" s="21"/>
      <c r="B153" s="14"/>
      <c r="C153" s="14"/>
      <c r="D153" s="15"/>
      <c r="E153" s="15"/>
      <c r="F153" s="15"/>
      <c r="G153" s="14"/>
    </row>
    <row r="154" spans="1:7" x14ac:dyDescent="0.3">
      <c r="A154" s="20"/>
      <c r="B154" s="11"/>
      <c r="C154" s="11"/>
      <c r="D154" s="12"/>
      <c r="E154" s="12"/>
      <c r="F154" s="12"/>
      <c r="G154" s="11"/>
    </row>
    <row r="155" spans="1:7" x14ac:dyDescent="0.3">
      <c r="A155" s="21"/>
      <c r="B155" s="14"/>
      <c r="C155" s="14"/>
      <c r="D155" s="15"/>
      <c r="E155" s="15"/>
      <c r="F155" s="15"/>
      <c r="G155" s="14"/>
    </row>
    <row r="156" spans="1:7" x14ac:dyDescent="0.3">
      <c r="A156" s="20"/>
      <c r="B156" s="11"/>
      <c r="C156" s="11"/>
      <c r="D156" s="12"/>
      <c r="E156" s="12"/>
      <c r="F156" s="12"/>
      <c r="G156" s="11"/>
    </row>
    <row r="157" spans="1:7" x14ac:dyDescent="0.3">
      <c r="A157" s="21"/>
      <c r="B157" s="14"/>
      <c r="C157" s="14"/>
      <c r="D157" s="15"/>
      <c r="E157" s="15"/>
      <c r="F157" s="15"/>
      <c r="G157" s="14"/>
    </row>
    <row r="158" spans="1:7" x14ac:dyDescent="0.3">
      <c r="A158" s="20"/>
      <c r="B158" s="11"/>
      <c r="C158" s="11"/>
      <c r="D158" s="12"/>
      <c r="E158" s="12"/>
      <c r="F158" s="12"/>
      <c r="G158" s="11"/>
    </row>
    <row r="159" spans="1:7" x14ac:dyDescent="0.3">
      <c r="A159" s="21"/>
      <c r="B159" s="14"/>
      <c r="C159" s="14"/>
      <c r="D159" s="15"/>
      <c r="E159" s="15"/>
      <c r="F159" s="15"/>
      <c r="G159" s="14"/>
    </row>
    <row r="160" spans="1:7" x14ac:dyDescent="0.3">
      <c r="A160" s="20"/>
      <c r="B160" s="11"/>
      <c r="C160" s="11"/>
      <c r="D160" s="12"/>
      <c r="E160" s="12"/>
      <c r="F160" s="12"/>
      <c r="G160" s="11"/>
    </row>
    <row r="161" spans="1:7" x14ac:dyDescent="0.3">
      <c r="A161" s="21"/>
      <c r="B161" s="14"/>
      <c r="C161" s="14"/>
      <c r="D161" s="15"/>
      <c r="E161" s="15"/>
      <c r="F161" s="15"/>
      <c r="G161" s="14"/>
    </row>
    <row r="162" spans="1:7" x14ac:dyDescent="0.3">
      <c r="A162" s="20"/>
      <c r="B162" s="11"/>
      <c r="C162" s="11"/>
      <c r="D162" s="12"/>
      <c r="E162" s="12"/>
      <c r="F162" s="12"/>
      <c r="G162" s="11"/>
    </row>
    <row r="163" spans="1:7" x14ac:dyDescent="0.3">
      <c r="A163" s="21"/>
      <c r="B163" s="14"/>
      <c r="C163" s="14"/>
      <c r="D163" s="15"/>
      <c r="E163" s="15"/>
      <c r="F163" s="15"/>
      <c r="G163" s="14"/>
    </row>
    <row r="164" spans="1:7" x14ac:dyDescent="0.3">
      <c r="A164" s="20"/>
      <c r="B164" s="11"/>
      <c r="C164" s="11"/>
      <c r="D164" s="12"/>
      <c r="E164" s="12"/>
      <c r="F164" s="12"/>
      <c r="G164" s="11"/>
    </row>
    <row r="165" spans="1:7" x14ac:dyDescent="0.3">
      <c r="A165" s="21"/>
      <c r="B165" s="14"/>
      <c r="C165" s="14"/>
      <c r="D165" s="15"/>
      <c r="E165" s="15"/>
      <c r="F165" s="15"/>
      <c r="G165" s="14"/>
    </row>
    <row r="166" spans="1:7" x14ac:dyDescent="0.3">
      <c r="A166" s="20"/>
      <c r="B166" s="11"/>
      <c r="C166" s="11"/>
      <c r="D166" s="12"/>
      <c r="E166" s="12"/>
      <c r="F166" s="12"/>
      <c r="G166" s="11"/>
    </row>
    <row r="167" spans="1:7" x14ac:dyDescent="0.3">
      <c r="A167" s="21"/>
      <c r="B167" s="14"/>
      <c r="C167" s="14"/>
      <c r="D167" s="15"/>
      <c r="E167" s="15"/>
      <c r="F167" s="15"/>
      <c r="G167" s="14"/>
    </row>
    <row r="168" spans="1:7" x14ac:dyDescent="0.3">
      <c r="A168" s="20"/>
      <c r="B168" s="11"/>
      <c r="C168" s="11"/>
      <c r="D168" s="12"/>
      <c r="E168" s="12"/>
      <c r="F168" s="12"/>
      <c r="G168" s="11"/>
    </row>
    <row r="169" spans="1:7" x14ac:dyDescent="0.3">
      <c r="A169" s="21"/>
      <c r="B169" s="14"/>
      <c r="C169" s="14"/>
      <c r="D169" s="15"/>
      <c r="E169" s="15"/>
      <c r="F169" s="15"/>
      <c r="G169" s="14"/>
    </row>
    <row r="170" spans="1:7" x14ac:dyDescent="0.3">
      <c r="A170" s="20"/>
      <c r="B170" s="11"/>
      <c r="C170" s="11"/>
      <c r="D170" s="12"/>
      <c r="E170" s="12"/>
      <c r="F170" s="12"/>
      <c r="G170" s="11"/>
    </row>
    <row r="171" spans="1:7" x14ac:dyDescent="0.3">
      <c r="A171" s="21"/>
      <c r="B171" s="14"/>
      <c r="C171" s="14"/>
      <c r="D171" s="15"/>
      <c r="E171" s="15"/>
      <c r="F171" s="15"/>
      <c r="G171" s="14"/>
    </row>
    <row r="172" spans="1:7" x14ac:dyDescent="0.3">
      <c r="A172" s="20"/>
      <c r="B172" s="11"/>
      <c r="C172" s="11"/>
      <c r="D172" s="12"/>
      <c r="E172" s="12"/>
      <c r="F172" s="12"/>
      <c r="G172" s="11"/>
    </row>
    <row r="173" spans="1:7" x14ac:dyDescent="0.3">
      <c r="A173" s="21"/>
      <c r="B173" s="14"/>
      <c r="C173" s="14"/>
      <c r="D173" s="15"/>
      <c r="E173" s="15"/>
      <c r="F173" s="15"/>
      <c r="G173" s="14"/>
    </row>
    <row r="174" spans="1:7" x14ac:dyDescent="0.3">
      <c r="A174" s="20"/>
      <c r="B174" s="11"/>
      <c r="C174" s="11"/>
      <c r="D174" s="12"/>
      <c r="E174" s="12"/>
      <c r="F174" s="12"/>
      <c r="G174" s="11"/>
    </row>
    <row r="175" spans="1:7" x14ac:dyDescent="0.3">
      <c r="A175" s="21"/>
      <c r="B175" s="14"/>
      <c r="C175" s="14"/>
      <c r="D175" s="15"/>
      <c r="E175" s="15"/>
      <c r="F175" s="15"/>
      <c r="G175" s="14"/>
    </row>
    <row r="176" spans="1:7" x14ac:dyDescent="0.3">
      <c r="A176" s="20"/>
      <c r="B176" s="11"/>
      <c r="C176" s="11"/>
      <c r="D176" s="12"/>
      <c r="E176" s="12"/>
      <c r="F176" s="12"/>
      <c r="G176" s="11"/>
    </row>
    <row r="177" spans="1:7" x14ac:dyDescent="0.3">
      <c r="A177" s="21"/>
      <c r="B177" s="14"/>
      <c r="C177" s="14"/>
      <c r="D177" s="15"/>
      <c r="E177" s="15"/>
      <c r="F177" s="15"/>
      <c r="G177" s="14"/>
    </row>
    <row r="178" spans="1:7" x14ac:dyDescent="0.3">
      <c r="A178" s="20"/>
      <c r="B178" s="11"/>
      <c r="C178" s="11"/>
      <c r="D178" s="12"/>
      <c r="E178" s="12"/>
      <c r="F178" s="12"/>
      <c r="G178" s="11"/>
    </row>
    <row r="179" spans="1:7" x14ac:dyDescent="0.3">
      <c r="A179" s="21"/>
      <c r="B179" s="14"/>
      <c r="C179" s="14"/>
      <c r="D179" s="15"/>
      <c r="E179" s="15"/>
      <c r="F179" s="15"/>
      <c r="G179" s="14"/>
    </row>
    <row r="180" spans="1:7" x14ac:dyDescent="0.3">
      <c r="A180" s="20"/>
      <c r="B180" s="11"/>
      <c r="C180" s="11"/>
      <c r="D180" s="12"/>
      <c r="E180" s="12"/>
      <c r="F180" s="12"/>
      <c r="G180" s="11"/>
    </row>
    <row r="181" spans="1:7" x14ac:dyDescent="0.3">
      <c r="A181" s="21"/>
      <c r="B181" s="14"/>
      <c r="C181" s="14"/>
      <c r="D181" s="15"/>
      <c r="E181" s="15"/>
      <c r="F181" s="15"/>
      <c r="G181" s="14"/>
    </row>
    <row r="182" spans="1:7" x14ac:dyDescent="0.3">
      <c r="A182" s="20"/>
      <c r="B182" s="11"/>
      <c r="C182" s="11"/>
      <c r="D182" s="12"/>
      <c r="E182" s="12"/>
      <c r="F182" s="12"/>
      <c r="G182" s="11"/>
    </row>
    <row r="183" spans="1:7" x14ac:dyDescent="0.3">
      <c r="A183" s="21"/>
      <c r="B183" s="14"/>
      <c r="C183" s="14"/>
      <c r="D183" s="15"/>
      <c r="E183" s="15"/>
      <c r="F183" s="15"/>
      <c r="G183" s="14"/>
    </row>
    <row r="184" spans="1:7" x14ac:dyDescent="0.3">
      <c r="A184" s="20"/>
      <c r="B184" s="11"/>
      <c r="C184" s="11"/>
      <c r="D184" s="12"/>
      <c r="E184" s="12"/>
      <c r="F184" s="12"/>
      <c r="G184" s="11"/>
    </row>
    <row r="185" spans="1:7" x14ac:dyDescent="0.3">
      <c r="A185" s="21"/>
      <c r="B185" s="14"/>
      <c r="C185" s="14"/>
      <c r="D185" s="15"/>
      <c r="E185" s="15"/>
      <c r="F185" s="15"/>
      <c r="G185" s="14"/>
    </row>
    <row r="186" spans="1:7" x14ac:dyDescent="0.3">
      <c r="A186" s="20"/>
      <c r="B186" s="11"/>
      <c r="C186" s="11"/>
      <c r="D186" s="12"/>
      <c r="E186" s="12"/>
      <c r="F186" s="12"/>
      <c r="G186" s="11"/>
    </row>
    <row r="187" spans="1:7" x14ac:dyDescent="0.3">
      <c r="A187" s="21"/>
      <c r="B187" s="14"/>
      <c r="C187" s="14"/>
      <c r="D187" s="15"/>
      <c r="E187" s="15"/>
      <c r="F187" s="15"/>
      <c r="G187" s="14"/>
    </row>
    <row r="188" spans="1:7" x14ac:dyDescent="0.3">
      <c r="A188" s="20"/>
      <c r="B188" s="11"/>
      <c r="C188" s="11"/>
      <c r="D188" s="12"/>
      <c r="E188" s="12"/>
      <c r="F188" s="12"/>
      <c r="G188" s="11"/>
    </row>
    <row r="189" spans="1:7" x14ac:dyDescent="0.3">
      <c r="A189" s="21"/>
      <c r="B189" s="14"/>
      <c r="C189" s="14"/>
      <c r="D189" s="15"/>
      <c r="E189" s="15"/>
      <c r="F189" s="15"/>
      <c r="G189" s="14"/>
    </row>
    <row r="190" spans="1:7" x14ac:dyDescent="0.3">
      <c r="A190" s="20"/>
      <c r="B190" s="11"/>
      <c r="C190" s="11"/>
      <c r="D190" s="12"/>
      <c r="E190" s="12"/>
      <c r="F190" s="12"/>
      <c r="G190" s="11"/>
    </row>
    <row r="191" spans="1:7" x14ac:dyDescent="0.3">
      <c r="A191" s="21"/>
      <c r="B191" s="14"/>
      <c r="C191" s="14"/>
      <c r="D191" s="15"/>
      <c r="E191" s="15"/>
      <c r="F191" s="15"/>
      <c r="G191" s="14"/>
    </row>
    <row r="192" spans="1:7" x14ac:dyDescent="0.3">
      <c r="A192" s="20"/>
      <c r="B192" s="11"/>
      <c r="C192" s="11"/>
      <c r="D192" s="12"/>
      <c r="E192" s="12"/>
      <c r="F192" s="12"/>
      <c r="G192" s="11"/>
    </row>
    <row r="193" spans="1:7" x14ac:dyDescent="0.3">
      <c r="A193" s="21"/>
      <c r="B193" s="14"/>
      <c r="C193" s="14"/>
      <c r="D193" s="15"/>
      <c r="E193" s="15"/>
      <c r="F193" s="15"/>
      <c r="G193" s="14"/>
    </row>
    <row r="194" spans="1:7" x14ac:dyDescent="0.3">
      <c r="A194" s="20"/>
      <c r="B194" s="11"/>
      <c r="C194" s="11"/>
      <c r="D194" s="12"/>
      <c r="E194" s="12"/>
      <c r="F194" s="12"/>
      <c r="G194" s="11"/>
    </row>
    <row r="195" spans="1:7" x14ac:dyDescent="0.3">
      <c r="A195" s="21"/>
      <c r="B195" s="14"/>
      <c r="C195" s="14"/>
      <c r="D195" s="15"/>
      <c r="E195" s="15"/>
      <c r="F195" s="15"/>
      <c r="G195" s="14"/>
    </row>
    <row r="196" spans="1:7" x14ac:dyDescent="0.3">
      <c r="A196" s="20"/>
      <c r="B196" s="11"/>
      <c r="C196" s="11"/>
      <c r="D196" s="12"/>
      <c r="E196" s="12"/>
      <c r="F196" s="12"/>
      <c r="G196" s="11"/>
    </row>
    <row r="197" spans="1:7" x14ac:dyDescent="0.3">
      <c r="A197" s="21"/>
      <c r="B197" s="14"/>
      <c r="C197" s="14"/>
      <c r="D197" s="15"/>
      <c r="E197" s="15"/>
      <c r="F197" s="15"/>
      <c r="G197" s="14"/>
    </row>
    <row r="198" spans="1:7" x14ac:dyDescent="0.3">
      <c r="A198" s="20"/>
      <c r="B198" s="11"/>
      <c r="C198" s="11"/>
      <c r="D198" s="12"/>
      <c r="E198" s="12"/>
      <c r="F198" s="12"/>
      <c r="G198" s="11"/>
    </row>
    <row r="199" spans="1:7" x14ac:dyDescent="0.3">
      <c r="A199" s="21"/>
      <c r="B199" s="14"/>
      <c r="C199" s="14"/>
      <c r="D199" s="15"/>
      <c r="E199" s="15"/>
      <c r="F199" s="15"/>
      <c r="G199" s="14"/>
    </row>
    <row r="200" spans="1:7" x14ac:dyDescent="0.3">
      <c r="A200" s="20"/>
      <c r="B200" s="11"/>
      <c r="C200" s="11"/>
      <c r="D200" s="12"/>
      <c r="E200" s="12"/>
      <c r="F200" s="12"/>
      <c r="G200" s="11"/>
    </row>
    <row r="201" spans="1:7" x14ac:dyDescent="0.3">
      <c r="A201" s="21"/>
      <c r="B201" s="14"/>
      <c r="C201" s="14"/>
      <c r="D201" s="15"/>
      <c r="E201" s="15"/>
      <c r="F201" s="15"/>
      <c r="G201" s="14"/>
    </row>
    <row r="202" spans="1:7" x14ac:dyDescent="0.3">
      <c r="A202" s="20"/>
      <c r="B202" s="11"/>
      <c r="C202" s="11"/>
      <c r="D202" s="12"/>
      <c r="E202" s="12"/>
      <c r="F202" s="12"/>
      <c r="G202" s="11"/>
    </row>
    <row r="203" spans="1:7" x14ac:dyDescent="0.3">
      <c r="A203" s="21"/>
      <c r="B203" s="14"/>
      <c r="C203" s="14"/>
      <c r="D203" s="15"/>
      <c r="E203" s="15"/>
      <c r="F203" s="15"/>
      <c r="G203" s="14"/>
    </row>
    <row r="204" spans="1:7" x14ac:dyDescent="0.3">
      <c r="A204" s="20"/>
      <c r="B204" s="11"/>
      <c r="C204" s="11"/>
      <c r="D204" s="12"/>
      <c r="E204" s="12"/>
      <c r="F204" s="12"/>
      <c r="G204" s="11"/>
    </row>
    <row r="205" spans="1:7" x14ac:dyDescent="0.3">
      <c r="A205" s="21"/>
      <c r="B205" s="14"/>
      <c r="C205" s="14"/>
      <c r="D205" s="15"/>
      <c r="E205" s="15"/>
      <c r="F205" s="15"/>
      <c r="G205" s="14"/>
    </row>
    <row r="206" spans="1:7" x14ac:dyDescent="0.3">
      <c r="A206" s="20"/>
      <c r="B206" s="11"/>
      <c r="C206" s="11"/>
      <c r="D206" s="12"/>
      <c r="E206" s="12"/>
      <c r="F206" s="12"/>
      <c r="G206" s="11"/>
    </row>
    <row r="207" spans="1:7" x14ac:dyDescent="0.3">
      <c r="A207" s="21"/>
      <c r="B207" s="14"/>
      <c r="C207" s="14"/>
      <c r="D207" s="15"/>
      <c r="E207" s="15"/>
      <c r="F207" s="15"/>
      <c r="G207" s="14"/>
    </row>
    <row r="208" spans="1:7" x14ac:dyDescent="0.3">
      <c r="A208" s="20"/>
      <c r="B208" s="11"/>
      <c r="C208" s="11"/>
      <c r="D208" s="12"/>
      <c r="E208" s="12"/>
      <c r="F208" s="12"/>
      <c r="G208" s="11"/>
    </row>
    <row r="209" spans="1:7" x14ac:dyDescent="0.3">
      <c r="A209" s="21"/>
      <c r="B209" s="14"/>
      <c r="C209" s="14"/>
      <c r="D209" s="15"/>
      <c r="E209" s="15"/>
      <c r="F209" s="15"/>
      <c r="G209" s="14"/>
    </row>
    <row r="210" spans="1:7" x14ac:dyDescent="0.3">
      <c r="A210" s="20"/>
      <c r="B210" s="11"/>
      <c r="C210" s="11"/>
      <c r="D210" s="12"/>
      <c r="E210" s="12"/>
      <c r="F210" s="12"/>
      <c r="G210" s="11"/>
    </row>
    <row r="211" spans="1:7" x14ac:dyDescent="0.3">
      <c r="A211" s="21"/>
      <c r="B211" s="14"/>
      <c r="C211" s="14"/>
      <c r="D211" s="15"/>
      <c r="E211" s="15"/>
      <c r="F211" s="15"/>
      <c r="G211" s="14"/>
    </row>
    <row r="212" spans="1:7" x14ac:dyDescent="0.3">
      <c r="A212" s="20"/>
      <c r="B212" s="11"/>
      <c r="C212" s="11"/>
      <c r="D212" s="12"/>
      <c r="E212" s="12"/>
      <c r="F212" s="12"/>
      <c r="G212" s="11"/>
    </row>
    <row r="213" spans="1:7" x14ac:dyDescent="0.3">
      <c r="A213" s="21"/>
      <c r="B213" s="14"/>
      <c r="C213" s="14"/>
      <c r="D213" s="15"/>
      <c r="E213" s="15"/>
      <c r="F213" s="15"/>
      <c r="G213" s="14"/>
    </row>
    <row r="214" spans="1:7" x14ac:dyDescent="0.3">
      <c r="A214" s="20"/>
      <c r="B214" s="11"/>
      <c r="C214" s="11"/>
      <c r="D214" s="12"/>
      <c r="E214" s="12"/>
      <c r="F214" s="12"/>
      <c r="G214" s="11"/>
    </row>
    <row r="215" spans="1:7" x14ac:dyDescent="0.3">
      <c r="A215" s="21"/>
      <c r="B215" s="14"/>
      <c r="C215" s="14"/>
      <c r="D215" s="15"/>
      <c r="E215" s="15"/>
      <c r="F215" s="15"/>
      <c r="G215" s="14"/>
    </row>
    <row r="216" spans="1:7" x14ac:dyDescent="0.3">
      <c r="A216" s="20"/>
      <c r="B216" s="11"/>
      <c r="C216" s="11"/>
      <c r="D216" s="12"/>
      <c r="E216" s="12"/>
      <c r="F216" s="12"/>
      <c r="G216" s="11"/>
    </row>
    <row r="217" spans="1:7" x14ac:dyDescent="0.3">
      <c r="A217" s="21"/>
      <c r="B217" s="14"/>
      <c r="C217" s="14"/>
      <c r="D217" s="15"/>
      <c r="E217" s="15"/>
      <c r="F217" s="15"/>
      <c r="G217" s="14"/>
    </row>
    <row r="218" spans="1:7" x14ac:dyDescent="0.3">
      <c r="A218" s="20"/>
      <c r="B218" s="11"/>
      <c r="C218" s="11"/>
      <c r="D218" s="12"/>
      <c r="E218" s="12"/>
      <c r="F218" s="12"/>
      <c r="G218" s="11"/>
    </row>
    <row r="219" spans="1:7" x14ac:dyDescent="0.3">
      <c r="A219" s="21"/>
      <c r="B219" s="14"/>
      <c r="C219" s="14"/>
      <c r="D219" s="15"/>
      <c r="E219" s="15"/>
      <c r="F219" s="15"/>
      <c r="G219" s="14"/>
    </row>
    <row r="220" spans="1:7" x14ac:dyDescent="0.3">
      <c r="A220" s="20"/>
      <c r="B220" s="11"/>
      <c r="C220" s="11"/>
      <c r="D220" s="12"/>
      <c r="E220" s="12"/>
      <c r="F220" s="12"/>
      <c r="G220" s="11"/>
    </row>
    <row r="221" spans="1:7" x14ac:dyDescent="0.3">
      <c r="A221" s="21"/>
      <c r="B221" s="14"/>
      <c r="C221" s="14"/>
      <c r="D221" s="15"/>
      <c r="E221" s="15"/>
      <c r="F221" s="15"/>
      <c r="G221" s="14"/>
    </row>
    <row r="222" spans="1:7" x14ac:dyDescent="0.3">
      <c r="A222" s="20"/>
      <c r="B222" s="11"/>
      <c r="C222" s="11"/>
      <c r="D222" s="12"/>
      <c r="E222" s="12"/>
      <c r="F222" s="12"/>
      <c r="G222" s="11"/>
    </row>
    <row r="223" spans="1:7" x14ac:dyDescent="0.3">
      <c r="A223" s="21"/>
      <c r="B223" s="14"/>
      <c r="C223" s="14"/>
      <c r="D223" s="15"/>
      <c r="E223" s="15"/>
      <c r="F223" s="15"/>
      <c r="G223" s="14"/>
    </row>
    <row r="224" spans="1:7" x14ac:dyDescent="0.3">
      <c r="A224" s="20"/>
      <c r="B224" s="11"/>
      <c r="C224" s="11"/>
      <c r="D224" s="12"/>
      <c r="E224" s="12"/>
      <c r="F224" s="12"/>
      <c r="G224" s="11"/>
    </row>
    <row r="225" spans="1:7" x14ac:dyDescent="0.3">
      <c r="A225" s="21"/>
      <c r="B225" s="14"/>
      <c r="C225" s="14"/>
      <c r="D225" s="15"/>
      <c r="E225" s="15"/>
      <c r="F225" s="15"/>
      <c r="G225" s="14"/>
    </row>
    <row r="226" spans="1:7" x14ac:dyDescent="0.3">
      <c r="A226" s="20"/>
      <c r="B226" s="11"/>
      <c r="C226" s="11"/>
      <c r="D226" s="12"/>
      <c r="E226" s="12"/>
      <c r="F226" s="12"/>
      <c r="G226" s="11"/>
    </row>
    <row r="227" spans="1:7" x14ac:dyDescent="0.3">
      <c r="A227" s="21"/>
      <c r="B227" s="14"/>
      <c r="C227" s="14"/>
      <c r="D227" s="15"/>
      <c r="E227" s="15"/>
      <c r="F227" s="15"/>
      <c r="G227" s="14"/>
    </row>
    <row r="228" spans="1:7" x14ac:dyDescent="0.3">
      <c r="A228" s="20"/>
      <c r="B228" s="11"/>
      <c r="C228" s="11"/>
      <c r="D228" s="12"/>
      <c r="E228" s="12"/>
      <c r="F228" s="12"/>
      <c r="G228" s="11"/>
    </row>
    <row r="229" spans="1:7" x14ac:dyDescent="0.3">
      <c r="A229" s="21"/>
      <c r="B229" s="14"/>
      <c r="C229" s="14"/>
      <c r="D229" s="15"/>
      <c r="E229" s="15"/>
      <c r="F229" s="15"/>
      <c r="G229" s="14"/>
    </row>
    <row r="230" spans="1:7" x14ac:dyDescent="0.3">
      <c r="A230" s="20"/>
      <c r="B230" s="11"/>
      <c r="C230" s="11"/>
      <c r="D230" s="12"/>
      <c r="E230" s="12"/>
      <c r="F230" s="12"/>
      <c r="G230" s="11"/>
    </row>
    <row r="231" spans="1:7" x14ac:dyDescent="0.3">
      <c r="A231" s="21"/>
      <c r="B231" s="14"/>
      <c r="C231" s="14"/>
      <c r="D231" s="15"/>
      <c r="E231" s="15"/>
      <c r="F231" s="15"/>
      <c r="G231" s="14"/>
    </row>
    <row r="232" spans="1:7" x14ac:dyDescent="0.3">
      <c r="A232" s="20"/>
      <c r="B232" s="11"/>
      <c r="C232" s="11"/>
      <c r="D232" s="12"/>
      <c r="E232" s="12"/>
      <c r="F232" s="12"/>
      <c r="G232" s="11"/>
    </row>
    <row r="233" spans="1:7" x14ac:dyDescent="0.3">
      <c r="A233" s="21"/>
      <c r="B233" s="14"/>
      <c r="C233" s="14"/>
      <c r="D233" s="15"/>
      <c r="E233" s="15"/>
      <c r="F233" s="15"/>
      <c r="G233" s="14"/>
    </row>
    <row r="234" spans="1:7" x14ac:dyDescent="0.3">
      <c r="A234" s="20"/>
      <c r="B234" s="11"/>
      <c r="C234" s="11"/>
      <c r="D234" s="12"/>
      <c r="E234" s="12"/>
      <c r="F234" s="12"/>
      <c r="G234" s="11"/>
    </row>
    <row r="235" spans="1:7" x14ac:dyDescent="0.3">
      <c r="A235" s="21"/>
      <c r="B235" s="14"/>
      <c r="C235" s="14"/>
      <c r="D235" s="15"/>
      <c r="E235" s="15"/>
      <c r="F235" s="15"/>
      <c r="G235" s="14"/>
    </row>
    <row r="236" spans="1:7" x14ac:dyDescent="0.3">
      <c r="A236" s="20"/>
      <c r="B236" s="11"/>
      <c r="C236" s="11"/>
      <c r="D236" s="12"/>
      <c r="E236" s="12"/>
      <c r="F236" s="12"/>
      <c r="G236" s="11"/>
    </row>
    <row r="237" spans="1:7" x14ac:dyDescent="0.3">
      <c r="A237" s="21"/>
      <c r="B237" s="14"/>
      <c r="C237" s="14"/>
      <c r="D237" s="15"/>
      <c r="E237" s="15"/>
      <c r="F237" s="15"/>
      <c r="G237" s="14"/>
    </row>
    <row r="238" spans="1:7" x14ac:dyDescent="0.3">
      <c r="A238" s="20"/>
      <c r="B238" s="11"/>
      <c r="C238" s="11"/>
      <c r="D238" s="12"/>
      <c r="E238" s="12"/>
      <c r="F238" s="12"/>
      <c r="G238" s="11"/>
    </row>
    <row r="239" spans="1:7" x14ac:dyDescent="0.3">
      <c r="A239" s="21"/>
      <c r="B239" s="14"/>
      <c r="C239" s="14"/>
      <c r="D239" s="15"/>
      <c r="E239" s="15"/>
      <c r="F239" s="15"/>
      <c r="G239" s="14"/>
    </row>
    <row r="240" spans="1:7" x14ac:dyDescent="0.3">
      <c r="A240" s="20"/>
      <c r="B240" s="11"/>
      <c r="C240" s="11"/>
      <c r="D240" s="12"/>
      <c r="E240" s="12"/>
      <c r="F240" s="12"/>
      <c r="G240" s="11"/>
    </row>
    <row r="241" spans="1:7" x14ac:dyDescent="0.3">
      <c r="A241" s="21"/>
      <c r="B241" s="14"/>
      <c r="C241" s="14"/>
      <c r="D241" s="15"/>
      <c r="E241" s="15"/>
      <c r="F241" s="15"/>
      <c r="G241" s="14"/>
    </row>
    <row r="242" spans="1:7" x14ac:dyDescent="0.3">
      <c r="A242" s="20"/>
      <c r="B242" s="11"/>
      <c r="C242" s="11"/>
      <c r="D242" s="12"/>
      <c r="E242" s="12"/>
      <c r="F242" s="12"/>
      <c r="G242" s="11"/>
    </row>
    <row r="243" spans="1:7" x14ac:dyDescent="0.3">
      <c r="A243" s="21"/>
      <c r="B243" s="14"/>
      <c r="C243" s="14"/>
      <c r="D243" s="15"/>
      <c r="E243" s="15"/>
      <c r="F243" s="15"/>
      <c r="G243" s="14"/>
    </row>
    <row r="244" spans="1:7" x14ac:dyDescent="0.3">
      <c r="A244" s="20"/>
      <c r="B244" s="11"/>
      <c r="C244" s="11"/>
      <c r="D244" s="12"/>
      <c r="E244" s="12"/>
      <c r="F244" s="12"/>
      <c r="G244" s="11"/>
    </row>
    <row r="245" spans="1:7" x14ac:dyDescent="0.3">
      <c r="A245" s="21"/>
      <c r="B245" s="14"/>
      <c r="C245" s="14"/>
      <c r="D245" s="15"/>
      <c r="E245" s="15"/>
      <c r="F245" s="15"/>
      <c r="G245" s="14"/>
    </row>
    <row r="246" spans="1:7" x14ac:dyDescent="0.3">
      <c r="A246" s="20"/>
      <c r="B246" s="11"/>
      <c r="C246" s="11"/>
      <c r="D246" s="12"/>
      <c r="E246" s="12"/>
      <c r="F246" s="12"/>
      <c r="G246" s="11"/>
    </row>
    <row r="247" spans="1:7" x14ac:dyDescent="0.3">
      <c r="A247" s="21"/>
      <c r="B247" s="14"/>
      <c r="C247" s="14"/>
      <c r="D247" s="15"/>
      <c r="E247" s="15"/>
      <c r="F247" s="15"/>
      <c r="G247" s="14"/>
    </row>
    <row r="248" spans="1:7" x14ac:dyDescent="0.3">
      <c r="A248" s="20"/>
      <c r="B248" s="11"/>
      <c r="C248" s="11"/>
      <c r="D248" s="12"/>
      <c r="E248" s="12"/>
      <c r="F248" s="12"/>
      <c r="G248" s="11"/>
    </row>
    <row r="249" spans="1:7" x14ac:dyDescent="0.3">
      <c r="A249" s="21"/>
      <c r="B249" s="14"/>
      <c r="C249" s="14"/>
      <c r="D249" s="15"/>
      <c r="E249" s="15"/>
      <c r="F249" s="15"/>
      <c r="G249" s="14"/>
    </row>
    <row r="250" spans="1:7" x14ac:dyDescent="0.3">
      <c r="A250" s="20"/>
      <c r="B250" s="11"/>
      <c r="C250" s="11"/>
      <c r="D250" s="12"/>
      <c r="E250" s="12"/>
      <c r="F250" s="12"/>
      <c r="G250" s="11"/>
    </row>
    <row r="251" spans="1:7" x14ac:dyDescent="0.3">
      <c r="A251" s="21"/>
      <c r="B251" s="14"/>
      <c r="C251" s="14"/>
      <c r="D251" s="15"/>
      <c r="E251" s="15"/>
      <c r="F251" s="15"/>
      <c r="G251" s="14"/>
    </row>
    <row r="252" spans="1:7" x14ac:dyDescent="0.3">
      <c r="A252" s="20"/>
      <c r="B252" s="11"/>
      <c r="C252" s="11"/>
      <c r="D252" s="12"/>
      <c r="E252" s="12"/>
      <c r="F252" s="12"/>
      <c r="G252" s="11"/>
    </row>
    <row r="253" spans="1:7" x14ac:dyDescent="0.3">
      <c r="A253" s="21"/>
      <c r="B253" s="14"/>
      <c r="C253" s="14"/>
      <c r="D253" s="15"/>
      <c r="E253" s="15"/>
      <c r="F253" s="15"/>
      <c r="G253" s="14"/>
    </row>
    <row r="254" spans="1:7" x14ac:dyDescent="0.3">
      <c r="A254" s="20"/>
      <c r="B254" s="11"/>
      <c r="C254" s="11"/>
      <c r="D254" s="12"/>
      <c r="E254" s="12"/>
      <c r="F254" s="12"/>
      <c r="G254" s="11"/>
    </row>
    <row r="255" spans="1:7" x14ac:dyDescent="0.3">
      <c r="A255" s="21"/>
      <c r="B255" s="14"/>
      <c r="C255" s="14"/>
      <c r="D255" s="15"/>
      <c r="E255" s="15"/>
      <c r="F255" s="15"/>
      <c r="G255" s="14"/>
    </row>
    <row r="256" spans="1:7" x14ac:dyDescent="0.3">
      <c r="A256" s="20"/>
      <c r="B256" s="11"/>
      <c r="C256" s="11"/>
      <c r="D256" s="12"/>
      <c r="E256" s="12"/>
      <c r="F256" s="12"/>
      <c r="G256" s="11"/>
    </row>
    <row r="257" spans="1:7" x14ac:dyDescent="0.3">
      <c r="A257" s="21"/>
      <c r="B257" s="14"/>
      <c r="C257" s="14"/>
      <c r="D257" s="15"/>
      <c r="E257" s="15"/>
      <c r="F257" s="15"/>
      <c r="G257" s="14"/>
    </row>
    <row r="258" spans="1:7" x14ac:dyDescent="0.3">
      <c r="A258" s="20"/>
      <c r="B258" s="11"/>
      <c r="C258" s="11"/>
      <c r="D258" s="12"/>
      <c r="E258" s="12"/>
      <c r="F258" s="12"/>
      <c r="G258" s="11"/>
    </row>
    <row r="259" spans="1:7" x14ac:dyDescent="0.3">
      <c r="A259" s="21"/>
      <c r="B259" s="14"/>
      <c r="C259" s="14"/>
      <c r="D259" s="15"/>
      <c r="E259" s="15"/>
      <c r="F259" s="15"/>
      <c r="G259" s="14"/>
    </row>
    <row r="260" spans="1:7" x14ac:dyDescent="0.3">
      <c r="A260" s="20"/>
      <c r="B260" s="11"/>
      <c r="C260" s="11"/>
      <c r="D260" s="12"/>
      <c r="E260" s="12"/>
      <c r="F260" s="12"/>
      <c r="G260" s="11"/>
    </row>
    <row r="261" spans="1:7" x14ac:dyDescent="0.3">
      <c r="A261" s="21"/>
      <c r="B261" s="14"/>
      <c r="C261" s="14"/>
      <c r="D261" s="15"/>
      <c r="E261" s="15"/>
      <c r="F261" s="15"/>
      <c r="G261" s="14"/>
    </row>
    <row r="262" spans="1:7" x14ac:dyDescent="0.3">
      <c r="A262" s="20"/>
      <c r="B262" s="11"/>
      <c r="C262" s="11"/>
      <c r="D262" s="12"/>
      <c r="E262" s="12"/>
      <c r="F262" s="12"/>
      <c r="G262" s="11"/>
    </row>
    <row r="263" spans="1:7" x14ac:dyDescent="0.3">
      <c r="A263" s="21"/>
      <c r="B263" s="14"/>
      <c r="C263" s="14"/>
      <c r="D263" s="15"/>
      <c r="E263" s="15"/>
      <c r="F263" s="15"/>
      <c r="G263" s="14"/>
    </row>
    <row r="264" spans="1:7" x14ac:dyDescent="0.3">
      <c r="A264" s="20"/>
      <c r="B264" s="11"/>
      <c r="C264" s="11"/>
      <c r="D264" s="12"/>
      <c r="E264" s="12"/>
      <c r="F264" s="12"/>
      <c r="G264" s="11"/>
    </row>
    <row r="265" spans="1:7" x14ac:dyDescent="0.3">
      <c r="A265" s="21"/>
      <c r="B265" s="14"/>
      <c r="C265" s="14"/>
      <c r="D265" s="15"/>
      <c r="E265" s="15"/>
      <c r="F265" s="15"/>
      <c r="G265" s="14"/>
    </row>
    <row r="266" spans="1:7" x14ac:dyDescent="0.3">
      <c r="A266" s="20"/>
      <c r="B266" s="11"/>
      <c r="C266" s="11"/>
      <c r="D266" s="12"/>
      <c r="E266" s="12"/>
      <c r="F266" s="12"/>
      <c r="G266" s="11"/>
    </row>
    <row r="267" spans="1:7" x14ac:dyDescent="0.3">
      <c r="A267" s="21"/>
      <c r="B267" s="14"/>
      <c r="C267" s="14"/>
      <c r="D267" s="15"/>
      <c r="E267" s="15"/>
      <c r="F267" s="15"/>
      <c r="G267" s="14"/>
    </row>
    <row r="268" spans="1:7" x14ac:dyDescent="0.3">
      <c r="A268" s="20"/>
      <c r="B268" s="11"/>
      <c r="C268" s="11"/>
      <c r="D268" s="12"/>
      <c r="E268" s="12"/>
      <c r="F268" s="12"/>
      <c r="G268" s="11"/>
    </row>
    <row r="269" spans="1:7" x14ac:dyDescent="0.3">
      <c r="A269" s="21"/>
      <c r="B269" s="14"/>
      <c r="C269" s="14"/>
      <c r="D269" s="15"/>
      <c r="E269" s="15"/>
      <c r="F269" s="15"/>
      <c r="G269" s="14"/>
    </row>
    <row r="270" spans="1:7" x14ac:dyDescent="0.3">
      <c r="A270" s="20"/>
      <c r="B270" s="11"/>
      <c r="C270" s="11"/>
      <c r="D270" s="12"/>
      <c r="E270" s="12"/>
      <c r="F270" s="12"/>
      <c r="G270" s="11"/>
    </row>
    <row r="271" spans="1:7" x14ac:dyDescent="0.3">
      <c r="A271" s="21"/>
      <c r="B271" s="14"/>
      <c r="C271" s="14"/>
      <c r="D271" s="15"/>
      <c r="E271" s="15"/>
      <c r="F271" s="15"/>
      <c r="G271" s="14"/>
    </row>
    <row r="272" spans="1:7" x14ac:dyDescent="0.3">
      <c r="A272" s="20"/>
      <c r="B272" s="11"/>
      <c r="C272" s="11"/>
      <c r="D272" s="12"/>
      <c r="E272" s="12"/>
      <c r="F272" s="12"/>
      <c r="G272" s="11"/>
    </row>
    <row r="273" spans="1:7" x14ac:dyDescent="0.3">
      <c r="A273" s="21"/>
      <c r="B273" s="14"/>
      <c r="C273" s="14"/>
      <c r="D273" s="15"/>
      <c r="E273" s="15"/>
      <c r="F273" s="15"/>
      <c r="G273" s="14"/>
    </row>
    <row r="274" spans="1:7" x14ac:dyDescent="0.3">
      <c r="A274" s="20"/>
      <c r="B274" s="11"/>
      <c r="C274" s="11"/>
      <c r="D274" s="12"/>
      <c r="E274" s="12"/>
      <c r="F274" s="12"/>
      <c r="G274" s="11"/>
    </row>
    <row r="275" spans="1:7" x14ac:dyDescent="0.3">
      <c r="A275" s="21"/>
      <c r="B275" s="14"/>
      <c r="C275" s="14"/>
      <c r="D275" s="15"/>
      <c r="E275" s="15"/>
      <c r="F275" s="15"/>
      <c r="G275" s="14"/>
    </row>
    <row r="276" spans="1:7" x14ac:dyDescent="0.3">
      <c r="A276" s="20"/>
      <c r="B276" s="11"/>
      <c r="C276" s="11"/>
      <c r="D276" s="12"/>
      <c r="E276" s="12"/>
      <c r="F276" s="12"/>
      <c r="G276" s="11"/>
    </row>
    <row r="277" spans="1:7" x14ac:dyDescent="0.3">
      <c r="A277" s="21"/>
      <c r="B277" s="14"/>
      <c r="C277" s="14"/>
      <c r="D277" s="15"/>
      <c r="E277" s="15"/>
      <c r="F277" s="15"/>
      <c r="G277" s="14"/>
    </row>
    <row r="278" spans="1:7" x14ac:dyDescent="0.3">
      <c r="A278" s="20"/>
      <c r="B278" s="11"/>
      <c r="C278" s="11"/>
      <c r="D278" s="12"/>
      <c r="E278" s="12"/>
      <c r="F278" s="12"/>
      <c r="G278" s="11"/>
    </row>
    <row r="279" spans="1:7" x14ac:dyDescent="0.3">
      <c r="A279" s="21"/>
      <c r="B279" s="14"/>
      <c r="C279" s="14"/>
      <c r="D279" s="15"/>
      <c r="E279" s="15"/>
      <c r="F279" s="15"/>
      <c r="G279" s="14"/>
    </row>
    <row r="280" spans="1:7" x14ac:dyDescent="0.3">
      <c r="A280" s="20"/>
      <c r="B280" s="11"/>
      <c r="C280" s="11"/>
      <c r="D280" s="12"/>
      <c r="E280" s="12"/>
      <c r="F280" s="12"/>
      <c r="G280" s="11"/>
    </row>
    <row r="281" spans="1:7" x14ac:dyDescent="0.3">
      <c r="A281" s="21"/>
      <c r="B281" s="14"/>
      <c r="C281" s="14"/>
      <c r="D281" s="15"/>
      <c r="E281" s="15"/>
      <c r="F281" s="15"/>
      <c r="G281" s="14"/>
    </row>
    <row r="282" spans="1:7" x14ac:dyDescent="0.3">
      <c r="A282" s="20"/>
      <c r="B282" s="11"/>
      <c r="C282" s="11"/>
      <c r="D282" s="12"/>
      <c r="E282" s="12"/>
      <c r="F282" s="12"/>
      <c r="G282" s="11"/>
    </row>
    <row r="283" spans="1:7" x14ac:dyDescent="0.3">
      <c r="A283" s="21"/>
      <c r="B283" s="14"/>
      <c r="C283" s="14"/>
      <c r="D283" s="15"/>
      <c r="E283" s="15"/>
      <c r="F283" s="15"/>
      <c r="G283" s="14"/>
    </row>
    <row r="284" spans="1:7" x14ac:dyDescent="0.3">
      <c r="A284" s="20"/>
      <c r="B284" s="11"/>
      <c r="C284" s="11"/>
      <c r="D284" s="12"/>
      <c r="E284" s="12"/>
      <c r="F284" s="12"/>
      <c r="G284" s="11"/>
    </row>
    <row r="285" spans="1:7" x14ac:dyDescent="0.3">
      <c r="A285" s="21"/>
      <c r="B285" s="14"/>
      <c r="C285" s="14"/>
      <c r="D285" s="15"/>
      <c r="E285" s="15"/>
      <c r="F285" s="15"/>
      <c r="G285" s="14"/>
    </row>
    <row r="286" spans="1:7" x14ac:dyDescent="0.3">
      <c r="A286" s="20"/>
      <c r="B286" s="11"/>
      <c r="C286" s="11"/>
      <c r="D286" s="12"/>
      <c r="E286" s="12"/>
      <c r="F286" s="12"/>
      <c r="G286" s="11"/>
    </row>
    <row r="287" spans="1:7" x14ac:dyDescent="0.3">
      <c r="A287" s="21"/>
      <c r="B287" s="14"/>
      <c r="C287" s="14"/>
      <c r="D287" s="15"/>
      <c r="E287" s="15"/>
      <c r="F287" s="15"/>
      <c r="G287" s="14"/>
    </row>
    <row r="288" spans="1:7" x14ac:dyDescent="0.3">
      <c r="A288" s="20"/>
      <c r="B288" s="11"/>
      <c r="C288" s="11"/>
      <c r="D288" s="12"/>
      <c r="E288" s="12"/>
      <c r="F288" s="12"/>
      <c r="G288" s="11"/>
    </row>
    <row r="289" spans="1:7" x14ac:dyDescent="0.3">
      <c r="A289" s="21"/>
      <c r="B289" s="14"/>
      <c r="C289" s="14"/>
      <c r="D289" s="15"/>
      <c r="E289" s="15"/>
      <c r="F289" s="15"/>
      <c r="G289" s="14"/>
    </row>
    <row r="290" spans="1:7" x14ac:dyDescent="0.3">
      <c r="A290" s="20"/>
      <c r="B290" s="11"/>
      <c r="C290" s="11"/>
      <c r="D290" s="12"/>
      <c r="E290" s="12"/>
      <c r="F290" s="12"/>
      <c r="G290" s="11"/>
    </row>
    <row r="291" spans="1:7" x14ac:dyDescent="0.3">
      <c r="A291" s="21"/>
      <c r="B291" s="14"/>
      <c r="C291" s="14"/>
      <c r="D291" s="15"/>
      <c r="E291" s="15"/>
      <c r="F291" s="15"/>
      <c r="G291" s="14"/>
    </row>
    <row r="292" spans="1:7" x14ac:dyDescent="0.3">
      <c r="A292" s="20"/>
      <c r="B292" s="11"/>
      <c r="C292" s="11"/>
      <c r="D292" s="12"/>
      <c r="E292" s="12"/>
      <c r="F292" s="12"/>
      <c r="G292" s="11"/>
    </row>
    <row r="293" spans="1:7" x14ac:dyDescent="0.3">
      <c r="A293" s="21"/>
      <c r="B293" s="14"/>
      <c r="C293" s="14"/>
      <c r="D293" s="15"/>
      <c r="E293" s="15"/>
      <c r="F293" s="15"/>
      <c r="G293" s="14"/>
    </row>
    <row r="294" spans="1:7" x14ac:dyDescent="0.3">
      <c r="A294" s="20"/>
      <c r="B294" s="11"/>
      <c r="C294" s="11"/>
      <c r="D294" s="12"/>
      <c r="E294" s="12"/>
      <c r="F294" s="12"/>
      <c r="G294" s="11"/>
    </row>
    <row r="295" spans="1:7" x14ac:dyDescent="0.3">
      <c r="A295" s="21"/>
      <c r="B295" s="14"/>
      <c r="C295" s="14"/>
      <c r="D295" s="15"/>
      <c r="E295" s="15"/>
      <c r="F295" s="15"/>
      <c r="G295" s="14"/>
    </row>
    <row r="296" spans="1:7" x14ac:dyDescent="0.3">
      <c r="A296" s="20"/>
      <c r="B296" s="11"/>
      <c r="C296" s="11"/>
      <c r="D296" s="12"/>
      <c r="E296" s="12"/>
      <c r="F296" s="12"/>
      <c r="G296" s="11"/>
    </row>
    <row r="297" spans="1:7" x14ac:dyDescent="0.3">
      <c r="A297" s="21"/>
      <c r="B297" s="14"/>
      <c r="C297" s="14"/>
      <c r="D297" s="15"/>
      <c r="E297" s="15"/>
      <c r="F297" s="15"/>
      <c r="G297" s="14"/>
    </row>
  </sheetData>
  <mergeCells count="1">
    <mergeCell ref="A2:G2"/>
  </mergeCells>
  <conditionalFormatting sqref="E5:E297">
    <cfRule type="expression" dxfId="20" priority="2">
      <formula>EXACT($E5,"Done")</formula>
    </cfRule>
    <cfRule type="expression" dxfId="19" priority="3">
      <formula>EXACT($E5,"In Progress")</formula>
    </cfRule>
    <cfRule type="expression" dxfId="18" priority="4">
      <formula>EXACT($E5,"Not Started")</formula>
    </cfRule>
    <cfRule type="expression" dxfId="17" priority="5">
      <formula>EXACT($E5,"Blocked")</formula>
    </cfRule>
  </conditionalFormatting>
  <conditionalFormatting sqref="F5:F297">
    <cfRule type="expression" dxfId="16" priority="6">
      <formula>EXACT($F5,"Hard")</formula>
    </cfRule>
    <cfRule type="expression" dxfId="15" priority="7">
      <formula>EXACT($F5,"Medium")</formula>
    </cfRule>
    <cfRule type="expression" dxfId="14" priority="8">
      <formula>EXACT($F5,"Easy")</formula>
    </cfRule>
  </conditionalFormatting>
  <dataValidations count="4">
    <dataValidation type="list" allowBlank="1" sqref="C5:C297" xr:uid="{00000000-0002-0000-0200-000000000000}">
      <formula1>"Research,Coding,Data Collection,Data Cleaning,NLP/ML,Dashboard/App,Testing,Documentation,GitHub,Meeting/Review,Other"</formula1>
      <formula2>0</formula2>
    </dataValidation>
    <dataValidation type="list" allowBlank="1" sqref="E5:E297" xr:uid="{00000000-0002-0000-0200-000001000000}">
      <formula1>"Done,In Progress,Not Started,Blocked"</formula1>
      <formula2>0</formula2>
    </dataValidation>
    <dataValidation type="list" allowBlank="1" sqref="F5:F297" xr:uid="{00000000-0002-0000-0200-000002000000}">
      <formula1>"Easy,Medium,Hard"</formula1>
      <formula2>0</formula2>
    </dataValidation>
    <dataValidation type="decimal" allowBlank="1" errorTitle="Invalid hours" error="Enter hours between 0 and 24" sqref="D5:D297" xr:uid="{00000000-0002-0000-0200-000003000000}">
      <formula1>0</formula1>
      <formula2>24</formula2>
    </dataValidation>
  </dataValidations>
  <hyperlinks>
    <hyperlink ref="G9" r:id="rId1" display="mailto:krishnagondaliya034@gmail.com" xr:uid="{920D42A8-01DB-4497-9269-9657F2CC3C6C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8E5B"/>
  </sheetPr>
  <dimension ref="B2:H2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5" sqref="H5"/>
    </sheetView>
  </sheetViews>
  <sheetFormatPr defaultColWidth="8.6640625" defaultRowHeight="14.4" x14ac:dyDescent="0.3"/>
  <cols>
    <col min="1" max="1" width="2" customWidth="1"/>
    <col min="2" max="2" width="14.33203125" customWidth="1"/>
    <col min="3" max="3" width="15.44140625" customWidth="1"/>
    <col min="4" max="4" width="16.88671875" customWidth="1"/>
    <col min="5" max="5" width="39.21875" bestFit="1" customWidth="1"/>
    <col min="6" max="6" width="12" customWidth="1"/>
    <col min="7" max="7" width="14" customWidth="1"/>
    <col min="8" max="8" width="32" customWidth="1"/>
    <col min="9" max="9" width="2" customWidth="1"/>
  </cols>
  <sheetData>
    <row r="2" spans="2:8" ht="39.75" customHeight="1" x14ac:dyDescent="0.3">
      <c r="B2" s="67" t="s">
        <v>69</v>
      </c>
      <c r="C2" s="67"/>
      <c r="D2" s="67"/>
      <c r="E2" s="67"/>
      <c r="F2" s="67"/>
      <c r="G2" s="67"/>
      <c r="H2" s="67"/>
    </row>
    <row r="3" spans="2:8" ht="18" customHeight="1" x14ac:dyDescent="0.3">
      <c r="B3" s="1" t="s">
        <v>70</v>
      </c>
    </row>
    <row r="4" spans="2:8" ht="25.5" customHeight="1" x14ac:dyDescent="0.3">
      <c r="B4" s="10" t="s">
        <v>71</v>
      </c>
      <c r="C4" s="10" t="s">
        <v>10</v>
      </c>
      <c r="D4" s="10" t="s">
        <v>27</v>
      </c>
      <c r="E4" s="10" t="s">
        <v>72</v>
      </c>
      <c r="F4" s="10" t="s">
        <v>73</v>
      </c>
      <c r="G4" s="10" t="s">
        <v>74</v>
      </c>
      <c r="H4" s="10" t="s">
        <v>75</v>
      </c>
    </row>
    <row r="5" spans="2:8" x14ac:dyDescent="0.3">
      <c r="B5" s="12">
        <v>1</v>
      </c>
      <c r="C5" s="22">
        <v>46194</v>
      </c>
      <c r="D5" s="22">
        <v>46203</v>
      </c>
      <c r="E5" s="11" t="s">
        <v>76</v>
      </c>
      <c r="F5" s="23">
        <f>SUMIFS('3_Daily_Log'!$D$5:$D$297,'3_Daily_Log'!$A$5:$A$297,"&gt;="&amp;C5,'3_Daily_Log'!$A$5:$A$297,"&lt;="&amp;D5)</f>
        <v>5</v>
      </c>
      <c r="G5" s="13">
        <v>0.3</v>
      </c>
      <c r="H5" s="11" t="s">
        <v>128</v>
      </c>
    </row>
    <row r="6" spans="2:8" x14ac:dyDescent="0.3">
      <c r="B6" s="15">
        <v>2</v>
      </c>
      <c r="C6" s="24">
        <v>46204</v>
      </c>
      <c r="D6" s="24">
        <v>46207</v>
      </c>
      <c r="E6" s="14"/>
      <c r="F6" s="25">
        <f>SUMIFS('3_Daily_Log'!$D$5:$D$297,'3_Daily_Log'!$A$5:$A$297,"&gt;="&amp;C6,'3_Daily_Log'!$A$5:$A$297,"&lt;="&amp;D6)</f>
        <v>0</v>
      </c>
      <c r="G6" s="16">
        <v>0</v>
      </c>
      <c r="H6" s="14"/>
    </row>
    <row r="7" spans="2:8" x14ac:dyDescent="0.3">
      <c r="B7" s="12">
        <v>3</v>
      </c>
      <c r="C7" s="22">
        <v>46208</v>
      </c>
      <c r="D7" s="22">
        <v>46214</v>
      </c>
      <c r="E7" s="11"/>
      <c r="F7" s="23">
        <f>SUMIFS('3_Daily_Log'!$D$5:$D$297,'3_Daily_Log'!$A$5:$A$297,"&gt;="&amp;C7,'3_Daily_Log'!$A$5:$A$297,"&lt;="&amp;D7)</f>
        <v>0</v>
      </c>
      <c r="G7" s="13">
        <v>0</v>
      </c>
      <c r="H7" s="11"/>
    </row>
    <row r="8" spans="2:8" x14ac:dyDescent="0.3">
      <c r="B8" s="15">
        <v>4</v>
      </c>
      <c r="C8" s="24">
        <v>46215</v>
      </c>
      <c r="D8" s="24">
        <v>46221</v>
      </c>
      <c r="E8" s="14"/>
      <c r="F8" s="25">
        <f>SUMIFS('3_Daily_Log'!$D$5:$D$297,'3_Daily_Log'!$A$5:$A$297,"&gt;="&amp;C8,'3_Daily_Log'!$A$5:$A$297,"&lt;="&amp;D8)</f>
        <v>0</v>
      </c>
      <c r="G8" s="16">
        <v>0</v>
      </c>
      <c r="H8" s="14"/>
    </row>
    <row r="9" spans="2:8" x14ac:dyDescent="0.3">
      <c r="B9" s="12">
        <v>5</v>
      </c>
      <c r="C9" s="22">
        <v>46222</v>
      </c>
      <c r="D9" s="22">
        <v>46228</v>
      </c>
      <c r="E9" s="11"/>
      <c r="F9" s="23">
        <f>SUMIFS('3_Daily_Log'!$D$5:$D$297,'3_Daily_Log'!$A$5:$A$297,"&gt;="&amp;C9,'3_Daily_Log'!$A$5:$A$297,"&lt;="&amp;D9)</f>
        <v>0</v>
      </c>
      <c r="G9" s="13">
        <v>0</v>
      </c>
      <c r="H9" s="11"/>
    </row>
    <row r="10" spans="2:8" x14ac:dyDescent="0.3">
      <c r="B10" s="15">
        <v>6</v>
      </c>
      <c r="C10" s="24">
        <v>46229</v>
      </c>
      <c r="D10" s="24">
        <v>46235</v>
      </c>
      <c r="E10" s="14"/>
      <c r="F10" s="25">
        <f>SUMIFS('3_Daily_Log'!$D$5:$D$297,'3_Daily_Log'!$A$5:$A$297,"&gt;="&amp;C10,'3_Daily_Log'!$A$5:$A$297,"&lt;="&amp;D10)</f>
        <v>0</v>
      </c>
      <c r="G10" s="16">
        <v>0</v>
      </c>
      <c r="H10" s="14"/>
    </row>
    <row r="11" spans="2:8" x14ac:dyDescent="0.3">
      <c r="B11" s="12">
        <v>7</v>
      </c>
      <c r="C11" s="22">
        <v>46236</v>
      </c>
      <c r="D11" s="22">
        <v>46242</v>
      </c>
      <c r="E11" s="11"/>
      <c r="F11" s="23">
        <f>SUMIFS('3_Daily_Log'!$D$5:$D$297,'3_Daily_Log'!$A$5:$A$297,"&gt;="&amp;C11,'3_Daily_Log'!$A$5:$A$297,"&lt;="&amp;D11)</f>
        <v>0</v>
      </c>
      <c r="G11" s="13">
        <v>0</v>
      </c>
      <c r="H11" s="11"/>
    </row>
    <row r="12" spans="2:8" x14ac:dyDescent="0.3">
      <c r="B12" s="15">
        <v>8</v>
      </c>
      <c r="C12" s="24">
        <v>46243</v>
      </c>
      <c r="D12" s="24">
        <v>46249</v>
      </c>
      <c r="E12" s="14"/>
      <c r="F12" s="25">
        <f>SUMIFS('3_Daily_Log'!$D$5:$D$297,'3_Daily_Log'!$A$5:$A$297,"&gt;="&amp;C12,'3_Daily_Log'!$A$5:$A$297,"&lt;="&amp;D12)</f>
        <v>0</v>
      </c>
      <c r="G12" s="16">
        <v>0</v>
      </c>
      <c r="H12" s="14"/>
    </row>
    <row r="13" spans="2:8" x14ac:dyDescent="0.3">
      <c r="B13" s="12">
        <v>9</v>
      </c>
      <c r="C13" s="22">
        <v>46250</v>
      </c>
      <c r="D13" s="22">
        <v>46256</v>
      </c>
      <c r="E13" s="11"/>
      <c r="F13" s="23">
        <f>SUMIFS('3_Daily_Log'!$D$5:$D$297,'3_Daily_Log'!$A$5:$A$297,"&gt;="&amp;C13,'3_Daily_Log'!$A$5:$A$297,"&lt;="&amp;D13)</f>
        <v>0</v>
      </c>
      <c r="G13" s="13">
        <v>0</v>
      </c>
      <c r="H13" s="11"/>
    </row>
    <row r="14" spans="2:8" x14ac:dyDescent="0.3">
      <c r="B14" s="15">
        <v>10</v>
      </c>
      <c r="C14" s="24">
        <v>46257</v>
      </c>
      <c r="D14" s="24">
        <v>46263</v>
      </c>
      <c r="E14" s="14"/>
      <c r="F14" s="25">
        <f>SUMIFS('3_Daily_Log'!$D$5:$D$297,'3_Daily_Log'!$A$5:$A$297,"&gt;="&amp;C14,'3_Daily_Log'!$A$5:$A$297,"&lt;="&amp;D14)</f>
        <v>0</v>
      </c>
      <c r="G14" s="16">
        <v>0</v>
      </c>
      <c r="H14" s="14"/>
    </row>
    <row r="15" spans="2:8" x14ac:dyDescent="0.3">
      <c r="B15" s="12">
        <v>11</v>
      </c>
      <c r="C15" s="22">
        <v>46264</v>
      </c>
      <c r="D15" s="22">
        <v>46270</v>
      </c>
      <c r="E15" s="11"/>
      <c r="F15" s="23">
        <f>SUMIFS('3_Daily_Log'!$D$5:$D$297,'3_Daily_Log'!$A$5:$A$297,"&gt;="&amp;C15,'3_Daily_Log'!$A$5:$A$297,"&lt;="&amp;D15)</f>
        <v>0</v>
      </c>
      <c r="G15" s="13">
        <v>0</v>
      </c>
      <c r="H15" s="11"/>
    </row>
    <row r="16" spans="2:8" x14ac:dyDescent="0.3">
      <c r="B16" s="15">
        <v>12</v>
      </c>
      <c r="C16" s="24">
        <v>46271</v>
      </c>
      <c r="D16" s="24">
        <v>46277</v>
      </c>
      <c r="E16" s="14"/>
      <c r="F16" s="25">
        <f>SUMIFS('3_Daily_Log'!$D$5:$D$297,'3_Daily_Log'!$A$5:$A$297,"&gt;="&amp;C16,'3_Daily_Log'!$A$5:$A$297,"&lt;="&amp;D16)</f>
        <v>0</v>
      </c>
      <c r="G16" s="16">
        <v>0</v>
      </c>
      <c r="H16" s="14"/>
    </row>
    <row r="17" spans="2:8" x14ac:dyDescent="0.3">
      <c r="B17" s="12">
        <v>13</v>
      </c>
      <c r="C17" s="22">
        <v>46278</v>
      </c>
      <c r="D17" s="22">
        <v>46284</v>
      </c>
      <c r="E17" s="11"/>
      <c r="F17" s="23">
        <f>SUMIFS('3_Daily_Log'!$D$5:$D$297,'3_Daily_Log'!$A$5:$A$297,"&gt;="&amp;C17,'3_Daily_Log'!$A$5:$A$297,"&lt;="&amp;D17)</f>
        <v>0</v>
      </c>
      <c r="G17" s="13">
        <v>0</v>
      </c>
      <c r="H17" s="11"/>
    </row>
    <row r="18" spans="2:8" x14ac:dyDescent="0.3">
      <c r="B18" s="15">
        <v>14</v>
      </c>
      <c r="C18" s="24">
        <v>46285</v>
      </c>
      <c r="D18" s="24">
        <v>46291</v>
      </c>
      <c r="E18" s="14"/>
      <c r="F18" s="25">
        <f>SUMIFS('3_Daily_Log'!$D$5:$D$297,'3_Daily_Log'!$A$5:$A$297,"&gt;="&amp;C18,'3_Daily_Log'!$A$5:$A$297,"&lt;="&amp;D18)</f>
        <v>0</v>
      </c>
      <c r="G18" s="16">
        <v>0</v>
      </c>
      <c r="H18" s="14"/>
    </row>
    <row r="19" spans="2:8" x14ac:dyDescent="0.3">
      <c r="B19" s="12">
        <v>15</v>
      </c>
      <c r="C19" s="22">
        <v>46292</v>
      </c>
      <c r="D19" s="22">
        <v>46298</v>
      </c>
      <c r="E19" s="11"/>
      <c r="F19" s="23">
        <f>SUMIFS('3_Daily_Log'!$D$5:$D$297,'3_Daily_Log'!$A$5:$A$297,"&gt;="&amp;C19,'3_Daily_Log'!$A$5:$A$297,"&lt;="&amp;D19)</f>
        <v>0</v>
      </c>
      <c r="G19" s="13">
        <v>0</v>
      </c>
      <c r="H19" s="11"/>
    </row>
    <row r="20" spans="2:8" x14ac:dyDescent="0.3">
      <c r="B20" s="15">
        <v>16</v>
      </c>
      <c r="C20" s="24">
        <v>46299</v>
      </c>
      <c r="D20" s="24">
        <v>46305</v>
      </c>
      <c r="E20" s="14"/>
      <c r="F20" s="25">
        <f>SUMIFS('3_Daily_Log'!$D$5:$D$297,'3_Daily_Log'!$A$5:$A$297,"&gt;="&amp;C20,'3_Daily_Log'!$A$5:$A$297,"&lt;="&amp;D20)</f>
        <v>0</v>
      </c>
      <c r="G20" s="16">
        <v>0</v>
      </c>
      <c r="H20" s="14"/>
    </row>
    <row r="21" spans="2:8" x14ac:dyDescent="0.3">
      <c r="B21" s="12">
        <v>17</v>
      </c>
      <c r="C21" s="22">
        <v>46306</v>
      </c>
      <c r="D21" s="22">
        <v>46312</v>
      </c>
      <c r="E21" s="11"/>
      <c r="F21" s="23">
        <f>SUMIFS('3_Daily_Log'!$D$5:$D$297,'3_Daily_Log'!$A$5:$A$297,"&gt;="&amp;C21,'3_Daily_Log'!$A$5:$A$297,"&lt;="&amp;D21)</f>
        <v>0</v>
      </c>
      <c r="G21" s="13">
        <v>0</v>
      </c>
      <c r="H21" s="11"/>
    </row>
  </sheetData>
  <mergeCells count="1">
    <mergeCell ref="B2:H2"/>
  </mergeCells>
  <conditionalFormatting sqref="G5:G21">
    <cfRule type="dataBar" priority="2">
      <dataBar>
        <cfvo type="num" val="0"/>
        <cfvo type="num" val="1"/>
        <color rgb="FF7B6CA8"/>
      </dataBar>
      <extLst>
        <ext xmlns:x14="http://schemas.microsoft.com/office/spreadsheetml/2009/9/main" uri="{B025F937-C7B1-47D3-B67F-A62EFF666E3E}">
          <x14:id>{E641B816-B2A4-4D36-A5F4-BE3D53AEB290}</x14:id>
        </ext>
      </extLst>
    </cfRule>
  </conditionalFormatting>
  <dataValidations count="1">
    <dataValidation type="decimal" allowBlank="1" errorTitle="Invalid %" error="Enter a value between 0% and 100%" sqref="G5:G21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41B816-B2A4-4D36-A5F4-BE3D53AEB29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B6CA8"/>
            </x14:dataBar>
          </x14:cfRule>
          <xm:sqref>G5:G21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E9A5E"/>
  </sheetPr>
  <dimension ref="B2:G14"/>
  <sheetViews>
    <sheetView showGridLines="0" zoomScaleNormal="100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D14" sqref="D14"/>
    </sheetView>
  </sheetViews>
  <sheetFormatPr defaultColWidth="8.6640625" defaultRowHeight="14.4" x14ac:dyDescent="0.3"/>
  <cols>
    <col min="1" max="1" width="2" customWidth="1"/>
    <col min="2" max="2" width="22" customWidth="1"/>
    <col min="3" max="5" width="16" customWidth="1"/>
    <col min="6" max="6" width="12" customWidth="1"/>
    <col min="7" max="7" width="47.44140625" customWidth="1"/>
    <col min="8" max="8" width="2" customWidth="1"/>
  </cols>
  <sheetData>
    <row r="2" spans="2:7" ht="39.75" customHeight="1" x14ac:dyDescent="0.3">
      <c r="B2" s="67" t="s">
        <v>77</v>
      </c>
      <c r="C2" s="67"/>
      <c r="D2" s="67"/>
      <c r="E2" s="67"/>
      <c r="F2" s="67"/>
      <c r="G2" s="67"/>
    </row>
    <row r="3" spans="2:7" ht="18" customHeight="1" x14ac:dyDescent="0.3">
      <c r="B3" s="1" t="s">
        <v>78</v>
      </c>
    </row>
    <row r="4" spans="2:7" ht="24" customHeight="1" x14ac:dyDescent="0.3">
      <c r="B4" s="10" t="s">
        <v>79</v>
      </c>
      <c r="C4" s="10" t="s">
        <v>80</v>
      </c>
      <c r="D4" s="10" t="s">
        <v>81</v>
      </c>
      <c r="E4" s="10" t="s">
        <v>82</v>
      </c>
      <c r="F4" s="10" t="s">
        <v>22</v>
      </c>
      <c r="G4" s="10" t="s">
        <v>29</v>
      </c>
    </row>
    <row r="5" spans="2:7" x14ac:dyDescent="0.3">
      <c r="B5" s="11" t="s">
        <v>83</v>
      </c>
      <c r="C5" s="12" t="s">
        <v>87</v>
      </c>
      <c r="D5" s="12" t="s">
        <v>87</v>
      </c>
      <c r="E5" s="12" t="s">
        <v>85</v>
      </c>
      <c r="F5" s="13">
        <f>IFERROR((MATCH(D5,{"Beginner","Intermediate","Advanced","Expert"},0)-1)/(MATCH(E5,{"Beginner","Intermediate","Advanced","Expert"},0)-1),0)</f>
        <v>0</v>
      </c>
      <c r="G5" s="11"/>
    </row>
    <row r="6" spans="2:7" x14ac:dyDescent="0.3">
      <c r="B6" s="14" t="s">
        <v>86</v>
      </c>
      <c r="C6" s="15" t="s">
        <v>87</v>
      </c>
      <c r="D6" s="15" t="s">
        <v>87</v>
      </c>
      <c r="E6" s="15" t="s">
        <v>85</v>
      </c>
      <c r="F6" s="16">
        <f>IFERROR((MATCH(D6,{"Beginner","Intermediate","Advanced","Expert"},0)-1)/(MATCH(E6,{"Beginner","Intermediate","Advanced","Expert"},0)-1),0)</f>
        <v>0</v>
      </c>
      <c r="G6" s="14"/>
    </row>
    <row r="7" spans="2:7" x14ac:dyDescent="0.3">
      <c r="B7" s="11" t="s">
        <v>88</v>
      </c>
      <c r="C7" s="12" t="s">
        <v>87</v>
      </c>
      <c r="D7" s="12" t="s">
        <v>87</v>
      </c>
      <c r="E7" s="12" t="s">
        <v>85</v>
      </c>
      <c r="F7" s="13">
        <f>IFERROR((MATCH(D7,{"Beginner","Intermediate","Advanced","Expert"},0)-1)/(MATCH(E7,{"Beginner","Intermediate","Advanced","Expert"},0)-1),0)</f>
        <v>0</v>
      </c>
      <c r="G7" s="11"/>
    </row>
    <row r="8" spans="2:7" x14ac:dyDescent="0.3">
      <c r="B8" s="14" t="s">
        <v>89</v>
      </c>
      <c r="C8" s="15" t="s">
        <v>87</v>
      </c>
      <c r="D8" s="15" t="s">
        <v>87</v>
      </c>
      <c r="E8" s="15" t="s">
        <v>84</v>
      </c>
      <c r="F8" s="16">
        <f>IFERROR((MATCH(D8,{"Beginner","Intermediate","Advanced","Expert"},0)-1)/(MATCH(E8,{"Beginner","Intermediate","Advanced","Expert"},0)-1),0)</f>
        <v>0</v>
      </c>
      <c r="G8" s="14"/>
    </row>
    <row r="9" spans="2:7" x14ac:dyDescent="0.3">
      <c r="B9" s="11" t="s">
        <v>90</v>
      </c>
      <c r="C9" s="12" t="s">
        <v>87</v>
      </c>
      <c r="D9" s="12" t="s">
        <v>87</v>
      </c>
      <c r="E9" s="12" t="s">
        <v>85</v>
      </c>
      <c r="F9" s="13">
        <f>IFERROR((MATCH(D9,{"Beginner","Intermediate","Advanced","Expert"},0)-1)/(MATCH(E9,{"Beginner","Intermediate","Advanced","Expert"},0)-1),0)</f>
        <v>0</v>
      </c>
      <c r="G9" s="11"/>
    </row>
    <row r="10" spans="2:7" x14ac:dyDescent="0.3">
      <c r="B10" s="14" t="s">
        <v>91</v>
      </c>
      <c r="C10" s="15" t="s">
        <v>87</v>
      </c>
      <c r="D10" s="15" t="s">
        <v>87</v>
      </c>
      <c r="E10" s="15" t="s">
        <v>84</v>
      </c>
      <c r="F10" s="16">
        <f>IFERROR((MATCH(D10,{"Beginner","Intermediate","Advanced","Expert"},0)-1)/(MATCH(E10,{"Beginner","Intermediate","Advanced","Expert"},0)-1),0)</f>
        <v>0</v>
      </c>
      <c r="G10" s="14"/>
    </row>
    <row r="11" spans="2:7" x14ac:dyDescent="0.3">
      <c r="B11" s="11" t="s">
        <v>92</v>
      </c>
      <c r="C11" s="12" t="s">
        <v>87</v>
      </c>
      <c r="D11" s="12" t="s">
        <v>87</v>
      </c>
      <c r="E11" s="12" t="s">
        <v>84</v>
      </c>
      <c r="F11" s="13">
        <f>IFERROR((MATCH(D11,{"Beginner","Intermediate","Advanced","Expert"},0)-1)/(MATCH(E11,{"Beginner","Intermediate","Advanced","Expert"},0)-1),0)</f>
        <v>0</v>
      </c>
      <c r="G11" s="11"/>
    </row>
    <row r="12" spans="2:7" x14ac:dyDescent="0.3">
      <c r="B12" s="14" t="s">
        <v>93</v>
      </c>
      <c r="C12" s="15" t="s">
        <v>84</v>
      </c>
      <c r="D12" s="15" t="s">
        <v>87</v>
      </c>
      <c r="E12" s="15" t="s">
        <v>85</v>
      </c>
      <c r="F12" s="16">
        <f>IFERROR((MATCH(D12,{"Beginner","Intermediate","Advanced","Expert"},0)-1)/(MATCH(E12,{"Beginner","Intermediate","Advanced","Expert"},0)-1),0)</f>
        <v>0</v>
      </c>
      <c r="G12" s="14"/>
    </row>
    <row r="13" spans="2:7" x14ac:dyDescent="0.3">
      <c r="B13" s="11" t="s">
        <v>94</v>
      </c>
      <c r="C13" s="12" t="s">
        <v>87</v>
      </c>
      <c r="D13" s="12" t="s">
        <v>87</v>
      </c>
      <c r="E13" s="12" t="s">
        <v>84</v>
      </c>
      <c r="F13" s="13">
        <f>IFERROR((MATCH(D13,{"Beginner","Intermediate","Advanced","Expert"},0)-1)/(MATCH(E13,{"Beginner","Intermediate","Advanced","Expert"},0)-1),0)</f>
        <v>0</v>
      </c>
      <c r="G13" s="11"/>
    </row>
    <row r="14" spans="2:7" x14ac:dyDescent="0.3">
      <c r="B14" s="14" t="s">
        <v>95</v>
      </c>
      <c r="C14" s="15" t="s">
        <v>84</v>
      </c>
      <c r="D14" s="15" t="s">
        <v>87</v>
      </c>
      <c r="E14" s="15" t="s">
        <v>85</v>
      </c>
      <c r="F14" s="16">
        <f>IFERROR((MATCH(D14,{"Beginner","Intermediate","Advanced","Expert"},0)-1)/(MATCH(E14,{"Beginner","Intermediate","Advanced","Expert"},0)-1),0)</f>
        <v>0</v>
      </c>
      <c r="G14" s="14"/>
    </row>
  </sheetData>
  <mergeCells count="1">
    <mergeCell ref="B2:G2"/>
  </mergeCells>
  <conditionalFormatting sqref="F5:F14">
    <cfRule type="dataBar" priority="2">
      <dataBar>
        <cfvo type="num" val="0"/>
        <cfvo type="num" val="1"/>
        <color rgb="FF5E9A5E"/>
      </dataBar>
      <extLst>
        <ext xmlns:x14="http://schemas.microsoft.com/office/spreadsheetml/2009/9/main" uri="{B025F937-C7B1-47D3-B67F-A62EFF666E3E}">
          <x14:id>{18179D9B-F23B-4E97-A28A-A0DFCAB893EC}</x14:id>
        </ext>
      </extLst>
    </cfRule>
  </conditionalFormatting>
  <dataValidations count="1">
    <dataValidation type="list" allowBlank="1" sqref="C5:E14" xr:uid="{00000000-0002-0000-0400-000000000000}">
      <formula1>"Beginner,Intermediate,Advanced,Expert"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79D9B-F23B-4E97-A28A-A0DFCAB893EC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E9A5E"/>
            </x14:dataBar>
          </x14:cfRule>
          <xm:sqref>F5:F14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7A8C"/>
  </sheetPr>
  <dimension ref="B2:G4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G7"/>
    </sheetView>
  </sheetViews>
  <sheetFormatPr defaultColWidth="8.6640625" defaultRowHeight="14.4" x14ac:dyDescent="0.3"/>
  <cols>
    <col min="1" max="1" width="2" customWidth="1"/>
    <col min="2" max="2" width="26" customWidth="1"/>
    <col min="3" max="4" width="14" customWidth="1"/>
    <col min="5" max="5" width="13" customWidth="1"/>
    <col min="6" max="6" width="14" customWidth="1"/>
    <col min="7" max="7" width="38" customWidth="1"/>
    <col min="8" max="8" width="2" customWidth="1"/>
  </cols>
  <sheetData>
    <row r="2" spans="2:7" ht="39.75" customHeight="1" x14ac:dyDescent="0.3">
      <c r="B2" s="67" t="s">
        <v>96</v>
      </c>
      <c r="C2" s="67"/>
      <c r="D2" s="67"/>
      <c r="E2" s="67"/>
      <c r="F2" s="67"/>
      <c r="G2" s="67"/>
    </row>
    <row r="3" spans="2:7" ht="18" customHeight="1" x14ac:dyDescent="0.3">
      <c r="B3" s="1" t="s">
        <v>97</v>
      </c>
    </row>
    <row r="4" spans="2:7" ht="24" customHeight="1" x14ac:dyDescent="0.3">
      <c r="B4" s="10" t="s">
        <v>98</v>
      </c>
      <c r="C4" s="10" t="s">
        <v>99</v>
      </c>
      <c r="D4" s="10" t="s">
        <v>100</v>
      </c>
      <c r="E4" s="10" t="s">
        <v>21</v>
      </c>
      <c r="F4" s="10" t="s">
        <v>101</v>
      </c>
      <c r="G4" s="10" t="s">
        <v>29</v>
      </c>
    </row>
    <row r="5" spans="2:7" x14ac:dyDescent="0.3">
      <c r="B5" s="11"/>
      <c r="C5" s="11"/>
      <c r="D5" s="12"/>
      <c r="E5" s="11"/>
      <c r="F5" s="20"/>
      <c r="G5" s="11"/>
    </row>
    <row r="6" spans="2:7" x14ac:dyDescent="0.3">
      <c r="B6" s="14"/>
      <c r="C6" s="14"/>
      <c r="D6" s="15"/>
      <c r="E6" s="14"/>
      <c r="F6" s="21"/>
      <c r="G6" s="14"/>
    </row>
    <row r="7" spans="2:7" x14ac:dyDescent="0.3">
      <c r="B7" s="11"/>
      <c r="C7" s="11"/>
      <c r="D7" s="12"/>
      <c r="E7" s="11"/>
      <c r="F7" s="20"/>
      <c r="G7" s="11"/>
    </row>
    <row r="8" spans="2:7" x14ac:dyDescent="0.3">
      <c r="B8" s="14"/>
      <c r="C8" s="14"/>
      <c r="D8" s="15"/>
      <c r="E8" s="14"/>
      <c r="F8" s="21"/>
      <c r="G8" s="14"/>
    </row>
    <row r="9" spans="2:7" x14ac:dyDescent="0.3">
      <c r="B9" s="11"/>
      <c r="C9" s="11"/>
      <c r="D9" s="12"/>
      <c r="E9" s="11"/>
      <c r="F9" s="20"/>
      <c r="G9" s="11"/>
    </row>
    <row r="10" spans="2:7" x14ac:dyDescent="0.3">
      <c r="B10" s="14"/>
      <c r="C10" s="14"/>
      <c r="D10" s="15"/>
      <c r="E10" s="14"/>
      <c r="F10" s="21"/>
      <c r="G10" s="14"/>
    </row>
    <row r="11" spans="2:7" x14ac:dyDescent="0.3">
      <c r="B11" s="11"/>
      <c r="C11" s="11"/>
      <c r="D11" s="12"/>
      <c r="E11" s="11"/>
      <c r="F11" s="20"/>
      <c r="G11" s="11"/>
    </row>
    <row r="12" spans="2:7" x14ac:dyDescent="0.3">
      <c r="B12" s="14"/>
      <c r="C12" s="14"/>
      <c r="D12" s="15"/>
      <c r="E12" s="14"/>
      <c r="F12" s="21"/>
      <c r="G12" s="14"/>
    </row>
    <row r="13" spans="2:7" x14ac:dyDescent="0.3">
      <c r="B13" s="11"/>
      <c r="C13" s="11"/>
      <c r="D13" s="12"/>
      <c r="E13" s="11"/>
      <c r="F13" s="20"/>
      <c r="G13" s="11"/>
    </row>
    <row r="14" spans="2:7" x14ac:dyDescent="0.3">
      <c r="B14" s="14"/>
      <c r="C14" s="14"/>
      <c r="D14" s="15"/>
      <c r="E14" s="14"/>
      <c r="F14" s="21"/>
      <c r="G14" s="14"/>
    </row>
    <row r="15" spans="2:7" x14ac:dyDescent="0.3">
      <c r="B15" s="11"/>
      <c r="C15" s="11"/>
      <c r="D15" s="12"/>
      <c r="E15" s="11"/>
      <c r="F15" s="20"/>
      <c r="G15" s="11"/>
    </row>
    <row r="16" spans="2:7" x14ac:dyDescent="0.3">
      <c r="B16" s="14"/>
      <c r="C16" s="14"/>
      <c r="D16" s="15"/>
      <c r="E16" s="14"/>
      <c r="F16" s="21"/>
      <c r="G16" s="14"/>
    </row>
    <row r="17" spans="2:7" x14ac:dyDescent="0.3">
      <c r="B17" s="11"/>
      <c r="C17" s="11"/>
      <c r="D17" s="12"/>
      <c r="E17" s="11"/>
      <c r="F17" s="20"/>
      <c r="G17" s="11"/>
    </row>
    <row r="18" spans="2:7" x14ac:dyDescent="0.3">
      <c r="B18" s="14"/>
      <c r="C18" s="14"/>
      <c r="D18" s="15"/>
      <c r="E18" s="14"/>
      <c r="F18" s="21"/>
      <c r="G18" s="14"/>
    </row>
    <row r="19" spans="2:7" x14ac:dyDescent="0.3">
      <c r="B19" s="11"/>
      <c r="C19" s="11"/>
      <c r="D19" s="12"/>
      <c r="E19" s="11"/>
      <c r="F19" s="20"/>
      <c r="G19" s="11"/>
    </row>
    <row r="20" spans="2:7" x14ac:dyDescent="0.3">
      <c r="B20" s="14"/>
      <c r="C20" s="14"/>
      <c r="D20" s="15"/>
      <c r="E20" s="14"/>
      <c r="F20" s="21"/>
      <c r="G20" s="14"/>
    </row>
    <row r="21" spans="2:7" x14ac:dyDescent="0.3">
      <c r="B21" s="11"/>
      <c r="C21" s="11"/>
      <c r="D21" s="12"/>
      <c r="E21" s="11"/>
      <c r="F21" s="20"/>
      <c r="G21" s="11"/>
    </row>
    <row r="22" spans="2:7" x14ac:dyDescent="0.3">
      <c r="B22" s="14"/>
      <c r="C22" s="14"/>
      <c r="D22" s="15"/>
      <c r="E22" s="14"/>
      <c r="F22" s="21"/>
      <c r="G22" s="14"/>
    </row>
    <row r="23" spans="2:7" x14ac:dyDescent="0.3">
      <c r="B23" s="11"/>
      <c r="C23" s="11"/>
      <c r="D23" s="12"/>
      <c r="E23" s="11"/>
      <c r="F23" s="20"/>
      <c r="G23" s="11"/>
    </row>
    <row r="24" spans="2:7" x14ac:dyDescent="0.3">
      <c r="B24" s="14"/>
      <c r="C24" s="14"/>
      <c r="D24" s="15"/>
      <c r="E24" s="14"/>
      <c r="F24" s="21"/>
      <c r="G24" s="14"/>
    </row>
    <row r="25" spans="2:7" x14ac:dyDescent="0.3">
      <c r="B25" s="11"/>
      <c r="C25" s="11"/>
      <c r="D25" s="12"/>
      <c r="E25" s="11"/>
      <c r="F25" s="20"/>
      <c r="G25" s="11"/>
    </row>
    <row r="26" spans="2:7" x14ac:dyDescent="0.3">
      <c r="B26" s="14"/>
      <c r="C26" s="14"/>
      <c r="D26" s="15"/>
      <c r="E26" s="14"/>
      <c r="F26" s="21"/>
      <c r="G26" s="14"/>
    </row>
    <row r="27" spans="2:7" x14ac:dyDescent="0.3">
      <c r="B27" s="11"/>
      <c r="C27" s="11"/>
      <c r="D27" s="12"/>
      <c r="E27" s="11"/>
      <c r="F27" s="20"/>
      <c r="G27" s="11"/>
    </row>
    <row r="28" spans="2:7" x14ac:dyDescent="0.3">
      <c r="B28" s="14"/>
      <c r="C28" s="14"/>
      <c r="D28" s="15"/>
      <c r="E28" s="14"/>
      <c r="F28" s="21"/>
      <c r="G28" s="14"/>
    </row>
    <row r="29" spans="2:7" x14ac:dyDescent="0.3">
      <c r="B29" s="11"/>
      <c r="C29" s="11"/>
      <c r="D29" s="12"/>
      <c r="E29" s="11"/>
      <c r="F29" s="20"/>
      <c r="G29" s="11"/>
    </row>
    <row r="30" spans="2:7" x14ac:dyDescent="0.3">
      <c r="B30" s="14"/>
      <c r="C30" s="14"/>
      <c r="D30" s="15"/>
      <c r="E30" s="14"/>
      <c r="F30" s="21"/>
      <c r="G30" s="14"/>
    </row>
    <row r="31" spans="2:7" x14ac:dyDescent="0.3">
      <c r="B31" s="11"/>
      <c r="C31" s="11"/>
      <c r="D31" s="12"/>
      <c r="E31" s="11"/>
      <c r="F31" s="20"/>
      <c r="G31" s="11"/>
    </row>
    <row r="32" spans="2:7" x14ac:dyDescent="0.3">
      <c r="B32" s="14"/>
      <c r="C32" s="14"/>
      <c r="D32" s="15"/>
      <c r="E32" s="14"/>
      <c r="F32" s="21"/>
      <c r="G32" s="14"/>
    </row>
    <row r="33" spans="2:7" x14ac:dyDescent="0.3">
      <c r="B33" s="11"/>
      <c r="C33" s="11"/>
      <c r="D33" s="12"/>
      <c r="E33" s="11"/>
      <c r="F33" s="20"/>
      <c r="G33" s="11"/>
    </row>
    <row r="34" spans="2:7" x14ac:dyDescent="0.3">
      <c r="B34" s="14"/>
      <c r="C34" s="14"/>
      <c r="D34" s="15"/>
      <c r="E34" s="14"/>
      <c r="F34" s="21"/>
      <c r="G34" s="14"/>
    </row>
    <row r="35" spans="2:7" x14ac:dyDescent="0.3">
      <c r="B35" s="11"/>
      <c r="C35" s="11"/>
      <c r="D35" s="12"/>
      <c r="E35" s="11"/>
      <c r="F35" s="20"/>
      <c r="G35" s="11"/>
    </row>
    <row r="36" spans="2:7" x14ac:dyDescent="0.3">
      <c r="B36" s="14"/>
      <c r="C36" s="14"/>
      <c r="D36" s="15"/>
      <c r="E36" s="14"/>
      <c r="F36" s="21"/>
      <c r="G36" s="14"/>
    </row>
    <row r="37" spans="2:7" x14ac:dyDescent="0.3">
      <c r="B37" s="11"/>
      <c r="C37" s="11"/>
      <c r="D37" s="12"/>
      <c r="E37" s="11"/>
      <c r="F37" s="20"/>
      <c r="G37" s="11"/>
    </row>
    <row r="38" spans="2:7" x14ac:dyDescent="0.3">
      <c r="B38" s="14"/>
      <c r="C38" s="14"/>
      <c r="D38" s="15"/>
      <c r="E38" s="14"/>
      <c r="F38" s="21"/>
      <c r="G38" s="14"/>
    </row>
    <row r="39" spans="2:7" x14ac:dyDescent="0.3">
      <c r="B39" s="11"/>
      <c r="C39" s="11"/>
      <c r="D39" s="12"/>
      <c r="E39" s="11"/>
      <c r="F39" s="20"/>
      <c r="G39" s="11"/>
    </row>
    <row r="40" spans="2:7" x14ac:dyDescent="0.3">
      <c r="B40" s="14"/>
      <c r="C40" s="14"/>
      <c r="D40" s="15"/>
      <c r="E40" s="14"/>
      <c r="F40" s="21"/>
      <c r="G40" s="14"/>
    </row>
  </sheetData>
  <mergeCells count="1">
    <mergeCell ref="B2:G2"/>
  </mergeCells>
  <conditionalFormatting sqref="E5:E40">
    <cfRule type="expression" dxfId="13" priority="2">
      <formula>EXACT($E5,"Cleaned")</formula>
    </cfRule>
    <cfRule type="expression" dxfId="12" priority="3">
      <formula>EXACT($E5,"In Use")</formula>
    </cfRule>
    <cfRule type="expression" dxfId="11" priority="4">
      <formula>EXACT($E5,"Collected")</formula>
    </cfRule>
    <cfRule type="expression" dxfId="10" priority="5">
      <formula>EXACT($E5,"Testing")</formula>
    </cfRule>
    <cfRule type="expression" dxfId="9" priority="6">
      <formula>EXACT($E5,"Pending")</formula>
    </cfRule>
    <cfRule type="expression" dxfId="8" priority="7">
      <formula>EXACT($E5,"Rejected")</formula>
    </cfRule>
  </conditionalFormatting>
  <dataValidations count="2">
    <dataValidation type="list" allowBlank="1" sqref="C5:C40" xr:uid="{00000000-0002-0000-0500-000000000000}">
      <formula1>"CSV,API,Scraping,Database,Manual Entry"</formula1>
      <formula2>0</formula2>
    </dataValidation>
    <dataValidation type="list" allowBlank="1" sqref="E5:E40" xr:uid="{00000000-0002-0000-0500-000001000000}">
      <formula1>"Pending,Testing,Collected,Cleaned,In Use,Rejected"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655F"/>
  </sheetPr>
  <dimension ref="B2:F6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F5"/>
    </sheetView>
  </sheetViews>
  <sheetFormatPr defaultColWidth="8.6640625" defaultRowHeight="14.4" x14ac:dyDescent="0.3"/>
  <cols>
    <col min="1" max="1" width="2" customWidth="1"/>
    <col min="2" max="2" width="13" customWidth="1"/>
    <col min="3" max="3" width="30" customWidth="1"/>
    <col min="4" max="4" width="26" customWidth="1"/>
    <col min="5" max="5" width="12" customWidth="1"/>
    <col min="6" max="6" width="32" customWidth="1"/>
    <col min="7" max="7" width="2" customWidth="1"/>
  </cols>
  <sheetData>
    <row r="2" spans="2:6" ht="39.75" customHeight="1" x14ac:dyDescent="0.3">
      <c r="B2" s="67" t="s">
        <v>103</v>
      </c>
      <c r="C2" s="67"/>
      <c r="D2" s="67"/>
      <c r="E2" s="67"/>
      <c r="F2" s="67"/>
    </row>
    <row r="3" spans="2:6" ht="18" customHeight="1" x14ac:dyDescent="0.3">
      <c r="B3" s="1" t="s">
        <v>104</v>
      </c>
    </row>
    <row r="4" spans="2:6" ht="24" customHeight="1" x14ac:dyDescent="0.3">
      <c r="B4" s="10" t="s">
        <v>59</v>
      </c>
      <c r="C4" s="10" t="s">
        <v>105</v>
      </c>
      <c r="D4" s="10" t="s">
        <v>106</v>
      </c>
      <c r="E4" s="10" t="s">
        <v>21</v>
      </c>
      <c r="F4" s="10" t="s">
        <v>107</v>
      </c>
    </row>
    <row r="5" spans="2:6" x14ac:dyDescent="0.3">
      <c r="B5" s="20"/>
      <c r="C5" s="11"/>
      <c r="D5" s="11"/>
      <c r="E5" s="12"/>
      <c r="F5" s="11"/>
    </row>
    <row r="6" spans="2:6" x14ac:dyDescent="0.3">
      <c r="B6" s="21"/>
      <c r="C6" s="14"/>
      <c r="D6" s="14"/>
      <c r="E6" s="15"/>
      <c r="F6" s="14"/>
    </row>
    <row r="7" spans="2:6" x14ac:dyDescent="0.3">
      <c r="B7" s="20"/>
      <c r="C7" s="11"/>
      <c r="D7" s="11"/>
      <c r="E7" s="12"/>
      <c r="F7" s="11"/>
    </row>
    <row r="8" spans="2:6" x14ac:dyDescent="0.3">
      <c r="B8" s="21"/>
      <c r="C8" s="14"/>
      <c r="D8" s="14"/>
      <c r="E8" s="15"/>
      <c r="F8" s="14"/>
    </row>
    <row r="9" spans="2:6" x14ac:dyDescent="0.3">
      <c r="B9" s="20"/>
      <c r="C9" s="11"/>
      <c r="D9" s="11"/>
      <c r="E9" s="12"/>
      <c r="F9" s="11"/>
    </row>
    <row r="10" spans="2:6" x14ac:dyDescent="0.3">
      <c r="B10" s="21"/>
      <c r="C10" s="14"/>
      <c r="D10" s="14"/>
      <c r="E10" s="15"/>
      <c r="F10" s="14"/>
    </row>
    <row r="11" spans="2:6" x14ac:dyDescent="0.3">
      <c r="B11" s="20"/>
      <c r="C11" s="11"/>
      <c r="D11" s="11"/>
      <c r="E11" s="12"/>
      <c r="F11" s="11"/>
    </row>
    <row r="12" spans="2:6" x14ac:dyDescent="0.3">
      <c r="B12" s="21"/>
      <c r="C12" s="14"/>
      <c r="D12" s="14"/>
      <c r="E12" s="15"/>
      <c r="F12" s="14"/>
    </row>
    <row r="13" spans="2:6" x14ac:dyDescent="0.3">
      <c r="B13" s="20"/>
      <c r="C13" s="11"/>
      <c r="D13" s="11"/>
      <c r="E13" s="12"/>
      <c r="F13" s="11"/>
    </row>
    <row r="14" spans="2:6" x14ac:dyDescent="0.3">
      <c r="B14" s="21"/>
      <c r="C14" s="14"/>
      <c r="D14" s="14"/>
      <c r="E14" s="15"/>
      <c r="F14" s="14"/>
    </row>
    <row r="15" spans="2:6" x14ac:dyDescent="0.3">
      <c r="B15" s="20"/>
      <c r="C15" s="11"/>
      <c r="D15" s="11"/>
      <c r="E15" s="12"/>
      <c r="F15" s="11"/>
    </row>
    <row r="16" spans="2:6" x14ac:dyDescent="0.3">
      <c r="B16" s="21"/>
      <c r="C16" s="14"/>
      <c r="D16" s="14"/>
      <c r="E16" s="15"/>
      <c r="F16" s="14"/>
    </row>
    <row r="17" spans="2:6" x14ac:dyDescent="0.3">
      <c r="B17" s="20"/>
      <c r="C17" s="11"/>
      <c r="D17" s="11"/>
      <c r="E17" s="12"/>
      <c r="F17" s="11"/>
    </row>
    <row r="18" spans="2:6" x14ac:dyDescent="0.3">
      <c r="B18" s="21"/>
      <c r="C18" s="14"/>
      <c r="D18" s="14"/>
      <c r="E18" s="15"/>
      <c r="F18" s="14"/>
    </row>
    <row r="19" spans="2:6" x14ac:dyDescent="0.3">
      <c r="B19" s="20"/>
      <c r="C19" s="11"/>
      <c r="D19" s="11"/>
      <c r="E19" s="12"/>
      <c r="F19" s="11"/>
    </row>
    <row r="20" spans="2:6" x14ac:dyDescent="0.3">
      <c r="B20" s="21"/>
      <c r="C20" s="14"/>
      <c r="D20" s="14"/>
      <c r="E20" s="15"/>
      <c r="F20" s="14"/>
    </row>
    <row r="21" spans="2:6" x14ac:dyDescent="0.3">
      <c r="B21" s="20"/>
      <c r="C21" s="11"/>
      <c r="D21" s="11"/>
      <c r="E21" s="12"/>
      <c r="F21" s="11"/>
    </row>
    <row r="22" spans="2:6" x14ac:dyDescent="0.3">
      <c r="B22" s="21"/>
      <c r="C22" s="14"/>
      <c r="D22" s="14"/>
      <c r="E22" s="15"/>
      <c r="F22" s="14"/>
    </row>
    <row r="23" spans="2:6" x14ac:dyDescent="0.3">
      <c r="B23" s="20"/>
      <c r="C23" s="11"/>
      <c r="D23" s="11"/>
      <c r="E23" s="12"/>
      <c r="F23" s="11"/>
    </row>
    <row r="24" spans="2:6" x14ac:dyDescent="0.3">
      <c r="B24" s="21"/>
      <c r="C24" s="14"/>
      <c r="D24" s="14"/>
      <c r="E24" s="15"/>
      <c r="F24" s="14"/>
    </row>
    <row r="25" spans="2:6" x14ac:dyDescent="0.3">
      <c r="B25" s="20"/>
      <c r="C25" s="11"/>
      <c r="D25" s="11"/>
      <c r="E25" s="12"/>
      <c r="F25" s="11"/>
    </row>
    <row r="26" spans="2:6" x14ac:dyDescent="0.3">
      <c r="B26" s="21"/>
      <c r="C26" s="14"/>
      <c r="D26" s="14"/>
      <c r="E26" s="15"/>
      <c r="F26" s="14"/>
    </row>
    <row r="27" spans="2:6" x14ac:dyDescent="0.3">
      <c r="B27" s="20"/>
      <c r="C27" s="11"/>
      <c r="D27" s="11"/>
      <c r="E27" s="12"/>
      <c r="F27" s="11"/>
    </row>
    <row r="28" spans="2:6" x14ac:dyDescent="0.3">
      <c r="B28" s="21"/>
      <c r="C28" s="14"/>
      <c r="D28" s="14"/>
      <c r="E28" s="15"/>
      <c r="F28" s="14"/>
    </row>
    <row r="29" spans="2:6" x14ac:dyDescent="0.3">
      <c r="B29" s="20"/>
      <c r="C29" s="11"/>
      <c r="D29" s="11"/>
      <c r="E29" s="12"/>
      <c r="F29" s="11"/>
    </row>
    <row r="30" spans="2:6" x14ac:dyDescent="0.3">
      <c r="B30" s="21"/>
      <c r="C30" s="14"/>
      <c r="D30" s="14"/>
      <c r="E30" s="15"/>
      <c r="F30" s="14"/>
    </row>
    <row r="31" spans="2:6" x14ac:dyDescent="0.3">
      <c r="B31" s="20"/>
      <c r="C31" s="11"/>
      <c r="D31" s="11"/>
      <c r="E31" s="12"/>
      <c r="F31" s="11"/>
    </row>
    <row r="32" spans="2:6" x14ac:dyDescent="0.3">
      <c r="B32" s="21"/>
      <c r="C32" s="14"/>
      <c r="D32" s="14"/>
      <c r="E32" s="15"/>
      <c r="F32" s="14"/>
    </row>
    <row r="33" spans="2:6" x14ac:dyDescent="0.3">
      <c r="B33" s="20"/>
      <c r="C33" s="11"/>
      <c r="D33" s="11"/>
      <c r="E33" s="12"/>
      <c r="F33" s="11"/>
    </row>
    <row r="34" spans="2:6" x14ac:dyDescent="0.3">
      <c r="B34" s="21"/>
      <c r="C34" s="14"/>
      <c r="D34" s="14"/>
      <c r="E34" s="15"/>
      <c r="F34" s="14"/>
    </row>
    <row r="35" spans="2:6" x14ac:dyDescent="0.3">
      <c r="B35" s="20"/>
      <c r="C35" s="11"/>
      <c r="D35" s="11"/>
      <c r="E35" s="12"/>
      <c r="F35" s="11"/>
    </row>
    <row r="36" spans="2:6" x14ac:dyDescent="0.3">
      <c r="B36" s="21"/>
      <c r="C36" s="14"/>
      <c r="D36" s="14"/>
      <c r="E36" s="15"/>
      <c r="F36" s="14"/>
    </row>
    <row r="37" spans="2:6" x14ac:dyDescent="0.3">
      <c r="B37" s="20"/>
      <c r="C37" s="11"/>
      <c r="D37" s="11"/>
      <c r="E37" s="12"/>
      <c r="F37" s="11"/>
    </row>
    <row r="38" spans="2:6" x14ac:dyDescent="0.3">
      <c r="B38" s="21"/>
      <c r="C38" s="14"/>
      <c r="D38" s="14"/>
      <c r="E38" s="15"/>
      <c r="F38" s="14"/>
    </row>
    <row r="39" spans="2:6" x14ac:dyDescent="0.3">
      <c r="B39" s="20"/>
      <c r="C39" s="11"/>
      <c r="D39" s="11"/>
      <c r="E39" s="12"/>
      <c r="F39" s="11"/>
    </row>
    <row r="40" spans="2:6" x14ac:dyDescent="0.3">
      <c r="B40" s="21"/>
      <c r="C40" s="14"/>
      <c r="D40" s="14"/>
      <c r="E40" s="15"/>
      <c r="F40" s="14"/>
    </row>
    <row r="41" spans="2:6" x14ac:dyDescent="0.3">
      <c r="B41" s="20"/>
      <c r="C41" s="11"/>
      <c r="D41" s="11"/>
      <c r="E41" s="12"/>
      <c r="F41" s="11"/>
    </row>
    <row r="42" spans="2:6" x14ac:dyDescent="0.3">
      <c r="B42" s="21"/>
      <c r="C42" s="14"/>
      <c r="D42" s="14"/>
      <c r="E42" s="15"/>
      <c r="F42" s="14"/>
    </row>
    <row r="43" spans="2:6" x14ac:dyDescent="0.3">
      <c r="B43" s="20"/>
      <c r="C43" s="11"/>
      <c r="D43" s="11"/>
      <c r="E43" s="12"/>
      <c r="F43" s="11"/>
    </row>
    <row r="44" spans="2:6" x14ac:dyDescent="0.3">
      <c r="B44" s="21"/>
      <c r="C44" s="14"/>
      <c r="D44" s="14"/>
      <c r="E44" s="15"/>
      <c r="F44" s="14"/>
    </row>
    <row r="45" spans="2:6" x14ac:dyDescent="0.3">
      <c r="B45" s="20"/>
      <c r="C45" s="11"/>
      <c r="D45" s="11"/>
      <c r="E45" s="12"/>
      <c r="F45" s="11"/>
    </row>
    <row r="46" spans="2:6" x14ac:dyDescent="0.3">
      <c r="B46" s="21"/>
      <c r="C46" s="14"/>
      <c r="D46" s="14"/>
      <c r="E46" s="15"/>
      <c r="F46" s="14"/>
    </row>
    <row r="47" spans="2:6" x14ac:dyDescent="0.3">
      <c r="B47" s="20"/>
      <c r="C47" s="11"/>
      <c r="D47" s="11"/>
      <c r="E47" s="12"/>
      <c r="F47" s="11"/>
    </row>
    <row r="48" spans="2:6" x14ac:dyDescent="0.3">
      <c r="B48" s="21"/>
      <c r="C48" s="14"/>
      <c r="D48" s="14"/>
      <c r="E48" s="15"/>
      <c r="F48" s="14"/>
    </row>
    <row r="49" spans="2:6" x14ac:dyDescent="0.3">
      <c r="B49" s="20"/>
      <c r="C49" s="11"/>
      <c r="D49" s="11"/>
      <c r="E49" s="12"/>
      <c r="F49" s="11"/>
    </row>
    <row r="50" spans="2:6" x14ac:dyDescent="0.3">
      <c r="B50" s="21"/>
      <c r="C50" s="14"/>
      <c r="D50" s="14"/>
      <c r="E50" s="15"/>
      <c r="F50" s="14"/>
    </row>
    <row r="51" spans="2:6" x14ac:dyDescent="0.3">
      <c r="B51" s="20"/>
      <c r="C51" s="11"/>
      <c r="D51" s="11"/>
      <c r="E51" s="12"/>
      <c r="F51" s="11"/>
    </row>
    <row r="52" spans="2:6" x14ac:dyDescent="0.3">
      <c r="B52" s="21"/>
      <c r="C52" s="14"/>
      <c r="D52" s="14"/>
      <c r="E52" s="15"/>
      <c r="F52" s="14"/>
    </row>
    <row r="53" spans="2:6" x14ac:dyDescent="0.3">
      <c r="B53" s="20"/>
      <c r="C53" s="11"/>
      <c r="D53" s="11"/>
      <c r="E53" s="12"/>
      <c r="F53" s="11"/>
    </row>
    <row r="54" spans="2:6" x14ac:dyDescent="0.3">
      <c r="B54" s="21"/>
      <c r="C54" s="14"/>
      <c r="D54" s="14"/>
      <c r="E54" s="15"/>
      <c r="F54" s="14"/>
    </row>
    <row r="55" spans="2:6" x14ac:dyDescent="0.3">
      <c r="B55" s="20"/>
      <c r="C55" s="11"/>
      <c r="D55" s="11"/>
      <c r="E55" s="12"/>
      <c r="F55" s="11"/>
    </row>
    <row r="56" spans="2:6" x14ac:dyDescent="0.3">
      <c r="B56" s="21"/>
      <c r="C56" s="14"/>
      <c r="D56" s="14"/>
      <c r="E56" s="15"/>
      <c r="F56" s="14"/>
    </row>
    <row r="57" spans="2:6" x14ac:dyDescent="0.3">
      <c r="B57" s="20"/>
      <c r="C57" s="11"/>
      <c r="D57" s="11"/>
      <c r="E57" s="12"/>
      <c r="F57" s="11"/>
    </row>
    <row r="58" spans="2:6" x14ac:dyDescent="0.3">
      <c r="B58" s="21"/>
      <c r="C58" s="14"/>
      <c r="D58" s="14"/>
      <c r="E58" s="15"/>
      <c r="F58" s="14"/>
    </row>
    <row r="59" spans="2:6" x14ac:dyDescent="0.3">
      <c r="B59" s="20"/>
      <c r="C59" s="11"/>
      <c r="D59" s="11"/>
      <c r="E59" s="12"/>
      <c r="F59" s="11"/>
    </row>
    <row r="60" spans="2:6" x14ac:dyDescent="0.3">
      <c r="B60" s="21"/>
      <c r="C60" s="14"/>
      <c r="D60" s="14"/>
      <c r="E60" s="15"/>
      <c r="F60" s="14"/>
    </row>
  </sheetData>
  <mergeCells count="1">
    <mergeCell ref="B2:F2"/>
  </mergeCells>
  <conditionalFormatting sqref="E5:E60">
    <cfRule type="expression" dxfId="7" priority="2">
      <formula>EXACT($E5,"Resolved")</formula>
    </cfRule>
    <cfRule type="expression" dxfId="6" priority="3">
      <formula>EXACT($E5,"Investigating")</formula>
    </cfRule>
    <cfRule type="expression" dxfId="5" priority="4">
      <formula>EXACT($E5,"Open")</formula>
    </cfRule>
  </conditionalFormatting>
  <dataValidations count="1">
    <dataValidation type="list" allowBlank="1" sqref="E5:E60" xr:uid="{00000000-0002-0000-0600-000000000000}">
      <formula1>"Open,Investigating,Resolved"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3415F"/>
  </sheetPr>
  <dimension ref="B2:F7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5" sqref="F5"/>
    </sheetView>
  </sheetViews>
  <sheetFormatPr defaultColWidth="8.6640625" defaultRowHeight="14.4" x14ac:dyDescent="0.3"/>
  <cols>
    <col min="1" max="1" width="2" customWidth="1"/>
    <col min="2" max="2" width="13" customWidth="1"/>
    <col min="3" max="3" width="62.109375" bestFit="1" customWidth="1"/>
    <col min="4" max="5" width="16" customWidth="1"/>
    <col min="6" max="6" width="72.77734375" bestFit="1" customWidth="1"/>
    <col min="7" max="7" width="2" customWidth="1"/>
  </cols>
  <sheetData>
    <row r="2" spans="2:6" ht="39.75" customHeight="1" x14ac:dyDescent="0.3">
      <c r="B2" s="67" t="s">
        <v>108</v>
      </c>
      <c r="C2" s="67"/>
      <c r="D2" s="67"/>
      <c r="E2" s="67"/>
      <c r="F2" s="67"/>
    </row>
    <row r="3" spans="2:6" ht="18" customHeight="1" x14ac:dyDescent="0.3">
      <c r="B3" s="1" t="s">
        <v>109</v>
      </c>
    </row>
    <row r="4" spans="2:6" ht="24" customHeight="1" x14ac:dyDescent="0.3">
      <c r="B4" s="10" t="s">
        <v>59</v>
      </c>
      <c r="C4" s="10" t="s">
        <v>110</v>
      </c>
      <c r="D4" s="10" t="s">
        <v>111</v>
      </c>
      <c r="E4" s="10" t="s">
        <v>99</v>
      </c>
      <c r="F4" s="10" t="s">
        <v>29</v>
      </c>
    </row>
    <row r="5" spans="2:6" x14ac:dyDescent="0.3">
      <c r="B5" s="21">
        <v>46194</v>
      </c>
      <c r="C5" t="s">
        <v>146</v>
      </c>
      <c r="D5" s="15" t="s">
        <v>147</v>
      </c>
      <c r="E5" s="15" t="s">
        <v>112</v>
      </c>
      <c r="F5" t="s">
        <v>148</v>
      </c>
    </row>
    <row r="6" spans="2:6" x14ac:dyDescent="0.3">
      <c r="B6" s="20"/>
      <c r="C6" s="11"/>
      <c r="D6" s="12"/>
      <c r="E6" s="12"/>
      <c r="F6" s="11"/>
    </row>
    <row r="7" spans="2:6" x14ac:dyDescent="0.3">
      <c r="B7" s="21"/>
      <c r="C7" s="14"/>
      <c r="D7" s="15"/>
      <c r="E7" s="15"/>
      <c r="F7" s="14"/>
    </row>
    <row r="8" spans="2:6" x14ac:dyDescent="0.3">
      <c r="B8" s="20"/>
      <c r="C8" s="11"/>
      <c r="D8" s="12"/>
      <c r="E8" s="12"/>
      <c r="F8" s="11"/>
    </row>
    <row r="9" spans="2:6" x14ac:dyDescent="0.3">
      <c r="B9" s="21"/>
      <c r="C9" s="14"/>
      <c r="D9" s="15"/>
      <c r="E9" s="15"/>
      <c r="F9" s="14"/>
    </row>
    <row r="10" spans="2:6" x14ac:dyDescent="0.3">
      <c r="B10" s="20"/>
      <c r="C10" s="11"/>
      <c r="D10" s="12"/>
      <c r="E10" s="12"/>
      <c r="F10" s="11"/>
    </row>
    <row r="11" spans="2:6" x14ac:dyDescent="0.3">
      <c r="B11" s="21"/>
      <c r="C11" s="14"/>
      <c r="D11" s="15"/>
      <c r="E11" s="15"/>
      <c r="F11" s="14"/>
    </row>
    <row r="12" spans="2:6" x14ac:dyDescent="0.3">
      <c r="B12" s="20"/>
      <c r="C12" s="11"/>
      <c r="D12" s="12"/>
      <c r="E12" s="12"/>
      <c r="F12" s="11"/>
    </row>
    <row r="13" spans="2:6" x14ac:dyDescent="0.3">
      <c r="B13" s="21"/>
      <c r="C13" s="14"/>
      <c r="D13" s="15"/>
      <c r="E13" s="15"/>
      <c r="F13" s="14"/>
    </row>
    <row r="14" spans="2:6" x14ac:dyDescent="0.3">
      <c r="B14" s="20"/>
      <c r="C14" s="11"/>
      <c r="D14" s="12"/>
      <c r="E14" s="12"/>
      <c r="F14" s="11"/>
    </row>
    <row r="15" spans="2:6" x14ac:dyDescent="0.3">
      <c r="B15" s="21"/>
      <c r="C15" s="14"/>
      <c r="D15" s="15"/>
      <c r="E15" s="15"/>
      <c r="F15" s="14"/>
    </row>
    <row r="16" spans="2:6" x14ac:dyDescent="0.3">
      <c r="B16" s="20"/>
      <c r="C16" s="11"/>
      <c r="D16" s="12"/>
      <c r="E16" s="12"/>
      <c r="F16" s="11"/>
    </row>
    <row r="17" spans="2:6" x14ac:dyDescent="0.3">
      <c r="B17" s="21"/>
      <c r="C17" s="14"/>
      <c r="D17" s="15"/>
      <c r="E17" s="15"/>
      <c r="F17" s="14"/>
    </row>
    <row r="18" spans="2:6" x14ac:dyDescent="0.3">
      <c r="B18" s="20"/>
      <c r="C18" s="11"/>
      <c r="D18" s="12"/>
      <c r="E18" s="12"/>
      <c r="F18" s="11"/>
    </row>
    <row r="19" spans="2:6" x14ac:dyDescent="0.3">
      <c r="B19" s="21"/>
      <c r="C19" s="14"/>
      <c r="D19" s="15"/>
      <c r="E19" s="15"/>
      <c r="F19" s="14"/>
    </row>
    <row r="20" spans="2:6" x14ac:dyDescent="0.3">
      <c r="B20" s="20"/>
      <c r="C20" s="11"/>
      <c r="D20" s="12"/>
      <c r="E20" s="12"/>
      <c r="F20" s="11"/>
    </row>
    <row r="21" spans="2:6" x14ac:dyDescent="0.3">
      <c r="B21" s="21"/>
      <c r="C21" s="14"/>
      <c r="D21" s="15"/>
      <c r="E21" s="15"/>
      <c r="F21" s="14"/>
    </row>
    <row r="22" spans="2:6" x14ac:dyDescent="0.3">
      <c r="B22" s="20"/>
      <c r="C22" s="11"/>
      <c r="D22" s="12"/>
      <c r="E22" s="12"/>
      <c r="F22" s="11"/>
    </row>
    <row r="23" spans="2:6" x14ac:dyDescent="0.3">
      <c r="B23" s="21"/>
      <c r="C23" s="14"/>
      <c r="D23" s="15"/>
      <c r="E23" s="15"/>
      <c r="F23" s="14"/>
    </row>
    <row r="24" spans="2:6" x14ac:dyDescent="0.3">
      <c r="B24" s="20"/>
      <c r="C24" s="11"/>
      <c r="D24" s="12"/>
      <c r="E24" s="12"/>
      <c r="F24" s="11"/>
    </row>
    <row r="25" spans="2:6" x14ac:dyDescent="0.3">
      <c r="B25" s="21"/>
      <c r="C25" s="14"/>
      <c r="D25" s="15"/>
      <c r="E25" s="15"/>
      <c r="F25" s="14"/>
    </row>
    <row r="26" spans="2:6" x14ac:dyDescent="0.3">
      <c r="B26" s="20"/>
      <c r="C26" s="11"/>
      <c r="D26" s="12"/>
      <c r="E26" s="12"/>
      <c r="F26" s="11"/>
    </row>
    <row r="27" spans="2:6" x14ac:dyDescent="0.3">
      <c r="B27" s="21"/>
      <c r="C27" s="14"/>
      <c r="D27" s="15"/>
      <c r="E27" s="15"/>
      <c r="F27" s="14"/>
    </row>
    <row r="28" spans="2:6" x14ac:dyDescent="0.3">
      <c r="B28" s="20"/>
      <c r="C28" s="11"/>
      <c r="D28" s="12"/>
      <c r="E28" s="12"/>
      <c r="F28" s="11"/>
    </row>
    <row r="29" spans="2:6" x14ac:dyDescent="0.3">
      <c r="B29" s="21"/>
      <c r="C29" s="14"/>
      <c r="D29" s="15"/>
      <c r="E29" s="15"/>
      <c r="F29" s="14"/>
    </row>
    <row r="30" spans="2:6" x14ac:dyDescent="0.3">
      <c r="B30" s="20"/>
      <c r="C30" s="11"/>
      <c r="D30" s="12"/>
      <c r="E30" s="12"/>
      <c r="F30" s="11"/>
    </row>
    <row r="31" spans="2:6" x14ac:dyDescent="0.3">
      <c r="B31" s="21"/>
      <c r="C31" s="14"/>
      <c r="D31" s="15"/>
      <c r="E31" s="15"/>
      <c r="F31" s="14"/>
    </row>
    <row r="32" spans="2:6" x14ac:dyDescent="0.3">
      <c r="B32" s="20"/>
      <c r="C32" s="11"/>
      <c r="D32" s="12"/>
      <c r="E32" s="12"/>
      <c r="F32" s="11"/>
    </row>
    <row r="33" spans="2:6" x14ac:dyDescent="0.3">
      <c r="B33" s="21"/>
      <c r="C33" s="14"/>
      <c r="D33" s="15"/>
      <c r="E33" s="15"/>
      <c r="F33" s="14"/>
    </row>
    <row r="34" spans="2:6" x14ac:dyDescent="0.3">
      <c r="B34" s="20"/>
      <c r="C34" s="11"/>
      <c r="D34" s="12"/>
      <c r="E34" s="12"/>
      <c r="F34" s="11"/>
    </row>
    <row r="35" spans="2:6" x14ac:dyDescent="0.3">
      <c r="B35" s="21"/>
      <c r="C35" s="14"/>
      <c r="D35" s="15"/>
      <c r="E35" s="15"/>
      <c r="F35" s="14"/>
    </row>
    <row r="36" spans="2:6" x14ac:dyDescent="0.3">
      <c r="B36" s="20"/>
      <c r="C36" s="11"/>
      <c r="D36" s="12"/>
      <c r="E36" s="12"/>
      <c r="F36" s="11"/>
    </row>
    <row r="37" spans="2:6" x14ac:dyDescent="0.3">
      <c r="B37" s="21"/>
      <c r="C37" s="14"/>
      <c r="D37" s="15"/>
      <c r="E37" s="15"/>
      <c r="F37" s="14"/>
    </row>
    <row r="38" spans="2:6" x14ac:dyDescent="0.3">
      <c r="B38" s="20"/>
      <c r="C38" s="11"/>
      <c r="D38" s="12"/>
      <c r="E38" s="12"/>
      <c r="F38" s="11"/>
    </row>
    <row r="39" spans="2:6" x14ac:dyDescent="0.3">
      <c r="B39" s="21"/>
      <c r="C39" s="14"/>
      <c r="D39" s="15"/>
      <c r="E39" s="15"/>
      <c r="F39" s="14"/>
    </row>
    <row r="40" spans="2:6" x14ac:dyDescent="0.3">
      <c r="B40" s="20"/>
      <c r="C40" s="11"/>
      <c r="D40" s="12"/>
      <c r="E40" s="12"/>
      <c r="F40" s="11"/>
    </row>
    <row r="41" spans="2:6" x14ac:dyDescent="0.3">
      <c r="B41" s="21"/>
      <c r="C41" s="14"/>
      <c r="D41" s="15"/>
      <c r="E41" s="15"/>
      <c r="F41" s="14"/>
    </row>
    <row r="42" spans="2:6" x14ac:dyDescent="0.3">
      <c r="B42" s="20"/>
      <c r="C42" s="11"/>
      <c r="D42" s="12"/>
      <c r="E42" s="12"/>
      <c r="F42" s="11"/>
    </row>
    <row r="43" spans="2:6" x14ac:dyDescent="0.3">
      <c r="B43" s="21"/>
      <c r="C43" s="14"/>
      <c r="D43" s="15"/>
      <c r="E43" s="15"/>
      <c r="F43" s="14"/>
    </row>
    <row r="44" spans="2:6" x14ac:dyDescent="0.3">
      <c r="B44" s="20"/>
      <c r="C44" s="11"/>
      <c r="D44" s="12"/>
      <c r="E44" s="12"/>
      <c r="F44" s="11"/>
    </row>
    <row r="45" spans="2:6" x14ac:dyDescent="0.3">
      <c r="B45" s="21"/>
      <c r="C45" s="14"/>
      <c r="D45" s="15"/>
      <c r="E45" s="15"/>
      <c r="F45" s="14"/>
    </row>
    <row r="46" spans="2:6" x14ac:dyDescent="0.3">
      <c r="B46" s="20"/>
      <c r="C46" s="11"/>
      <c r="D46" s="12"/>
      <c r="E46" s="12"/>
      <c r="F46" s="11"/>
    </row>
    <row r="47" spans="2:6" x14ac:dyDescent="0.3">
      <c r="B47" s="21"/>
      <c r="C47" s="14"/>
      <c r="D47" s="15"/>
      <c r="E47" s="15"/>
      <c r="F47" s="14"/>
    </row>
    <row r="48" spans="2:6" x14ac:dyDescent="0.3">
      <c r="B48" s="20"/>
      <c r="C48" s="11"/>
      <c r="D48" s="12"/>
      <c r="E48" s="12"/>
      <c r="F48" s="11"/>
    </row>
    <row r="49" spans="2:6" x14ac:dyDescent="0.3">
      <c r="B49" s="21"/>
      <c r="C49" s="14"/>
      <c r="D49" s="15"/>
      <c r="E49" s="15"/>
      <c r="F49" s="14"/>
    </row>
    <row r="50" spans="2:6" x14ac:dyDescent="0.3">
      <c r="B50" s="20"/>
      <c r="C50" s="11"/>
      <c r="D50" s="12"/>
      <c r="E50" s="12"/>
      <c r="F50" s="11"/>
    </row>
    <row r="51" spans="2:6" x14ac:dyDescent="0.3">
      <c r="B51" s="21"/>
      <c r="C51" s="14"/>
      <c r="D51" s="15"/>
      <c r="E51" s="15"/>
      <c r="F51" s="14"/>
    </row>
    <row r="52" spans="2:6" x14ac:dyDescent="0.3">
      <c r="B52" s="20"/>
      <c r="C52" s="11"/>
      <c r="D52" s="12"/>
      <c r="E52" s="12"/>
      <c r="F52" s="11"/>
    </row>
    <row r="53" spans="2:6" x14ac:dyDescent="0.3">
      <c r="B53" s="21"/>
      <c r="C53" s="14"/>
      <c r="D53" s="15"/>
      <c r="E53" s="15"/>
      <c r="F53" s="14"/>
    </row>
    <row r="54" spans="2:6" x14ac:dyDescent="0.3">
      <c r="B54" s="20"/>
      <c r="C54" s="11"/>
      <c r="D54" s="12"/>
      <c r="E54" s="12"/>
      <c r="F54" s="11"/>
    </row>
    <row r="55" spans="2:6" x14ac:dyDescent="0.3">
      <c r="B55" s="21"/>
      <c r="C55" s="14"/>
      <c r="D55" s="15"/>
      <c r="E55" s="15"/>
      <c r="F55" s="14"/>
    </row>
    <row r="56" spans="2:6" x14ac:dyDescent="0.3">
      <c r="B56" s="20"/>
      <c r="C56" s="11"/>
      <c r="D56" s="12"/>
      <c r="E56" s="12"/>
      <c r="F56" s="11"/>
    </row>
    <row r="57" spans="2:6" x14ac:dyDescent="0.3">
      <c r="B57" s="21"/>
      <c r="C57" s="14"/>
      <c r="D57" s="15"/>
      <c r="E57" s="15"/>
      <c r="F57" s="14"/>
    </row>
    <row r="58" spans="2:6" x14ac:dyDescent="0.3">
      <c r="B58" s="20"/>
      <c r="C58" s="11"/>
      <c r="D58" s="12"/>
      <c r="E58" s="12"/>
      <c r="F58" s="11"/>
    </row>
    <row r="59" spans="2:6" x14ac:dyDescent="0.3">
      <c r="B59" s="21"/>
      <c r="C59" s="14"/>
      <c r="D59" s="15"/>
      <c r="E59" s="15"/>
      <c r="F59" s="14"/>
    </row>
    <row r="60" spans="2:6" x14ac:dyDescent="0.3">
      <c r="B60" s="20"/>
      <c r="C60" s="11"/>
      <c r="D60" s="12"/>
      <c r="E60" s="12"/>
      <c r="F60" s="11"/>
    </row>
    <row r="61" spans="2:6" x14ac:dyDescent="0.3">
      <c r="B61" s="21"/>
      <c r="C61" s="14"/>
      <c r="D61" s="15"/>
      <c r="E61" s="15"/>
      <c r="F61" s="14"/>
    </row>
    <row r="62" spans="2:6" x14ac:dyDescent="0.3">
      <c r="B62" s="20"/>
      <c r="C62" s="11"/>
      <c r="D62" s="12"/>
      <c r="E62" s="12"/>
      <c r="F62" s="11"/>
    </row>
    <row r="63" spans="2:6" x14ac:dyDescent="0.3">
      <c r="B63" s="21"/>
      <c r="C63" s="14"/>
      <c r="D63" s="15"/>
      <c r="E63" s="15"/>
      <c r="F63" s="14"/>
    </row>
    <row r="64" spans="2:6" x14ac:dyDescent="0.3">
      <c r="B64" s="20"/>
      <c r="C64" s="11"/>
      <c r="D64" s="12"/>
      <c r="E64" s="12"/>
      <c r="F64" s="11"/>
    </row>
    <row r="65" spans="2:6" x14ac:dyDescent="0.3">
      <c r="B65" s="21"/>
      <c r="C65" s="14"/>
      <c r="D65" s="15"/>
      <c r="E65" s="15"/>
      <c r="F65" s="14"/>
    </row>
    <row r="66" spans="2:6" x14ac:dyDescent="0.3">
      <c r="B66" s="20"/>
      <c r="C66" s="11"/>
      <c r="D66" s="12"/>
      <c r="E66" s="12"/>
      <c r="F66" s="11"/>
    </row>
    <row r="67" spans="2:6" x14ac:dyDescent="0.3">
      <c r="B67" s="21"/>
      <c r="C67" s="14"/>
      <c r="D67" s="15"/>
      <c r="E67" s="15"/>
      <c r="F67" s="14"/>
    </row>
    <row r="68" spans="2:6" x14ac:dyDescent="0.3">
      <c r="B68" s="20"/>
      <c r="C68" s="11"/>
      <c r="D68" s="12"/>
      <c r="E68" s="12"/>
      <c r="F68" s="11"/>
    </row>
    <row r="69" spans="2:6" x14ac:dyDescent="0.3">
      <c r="B69" s="21"/>
      <c r="C69" s="14"/>
      <c r="D69" s="15"/>
      <c r="E69" s="15"/>
      <c r="F69" s="14"/>
    </row>
    <row r="70" spans="2:6" x14ac:dyDescent="0.3">
      <c r="B70" s="20"/>
      <c r="C70" s="11"/>
      <c r="D70" s="12"/>
      <c r="E70" s="12"/>
      <c r="F70" s="11"/>
    </row>
    <row r="71" spans="2:6" x14ac:dyDescent="0.3">
      <c r="B71" s="21"/>
      <c r="C71" s="14"/>
      <c r="D71" s="15"/>
      <c r="E71" s="15"/>
      <c r="F71" s="14"/>
    </row>
    <row r="72" spans="2:6" x14ac:dyDescent="0.3">
      <c r="B72" s="20"/>
      <c r="C72" s="11"/>
      <c r="D72" s="12"/>
      <c r="E72" s="12"/>
      <c r="F72" s="11"/>
    </row>
    <row r="73" spans="2:6" x14ac:dyDescent="0.3">
      <c r="B73" s="21"/>
      <c r="C73" s="14"/>
      <c r="D73" s="15"/>
      <c r="E73" s="15"/>
      <c r="F73" s="14"/>
    </row>
    <row r="74" spans="2:6" x14ac:dyDescent="0.3">
      <c r="B74" s="20"/>
      <c r="C74" s="11"/>
      <c r="D74" s="12"/>
      <c r="E74" s="12"/>
      <c r="F74" s="11"/>
    </row>
    <row r="75" spans="2:6" x14ac:dyDescent="0.3">
      <c r="B75" s="21"/>
      <c r="C75" s="14"/>
      <c r="D75" s="15"/>
      <c r="E75" s="15"/>
      <c r="F75" s="14"/>
    </row>
    <row r="76" spans="2:6" x14ac:dyDescent="0.3">
      <c r="B76" s="20"/>
      <c r="C76" s="11"/>
      <c r="D76" s="12"/>
      <c r="E76" s="12"/>
      <c r="F76" s="11"/>
    </row>
    <row r="77" spans="2:6" x14ac:dyDescent="0.3">
      <c r="B77" s="21"/>
      <c r="C77" s="14"/>
      <c r="D77" s="15"/>
      <c r="E77" s="15"/>
      <c r="F77" s="14"/>
    </row>
    <row r="78" spans="2:6" x14ac:dyDescent="0.3">
      <c r="B78" s="20"/>
      <c r="C78" s="11"/>
      <c r="D78" s="12"/>
      <c r="E78" s="12"/>
      <c r="F78" s="11"/>
    </row>
    <row r="79" spans="2:6" x14ac:dyDescent="0.3">
      <c r="B79" s="21"/>
      <c r="C79" s="14"/>
      <c r="D79" s="15"/>
      <c r="E79" s="15"/>
      <c r="F79" s="14"/>
    </row>
  </sheetData>
  <mergeCells count="1">
    <mergeCell ref="B2:F2"/>
  </mergeCells>
  <conditionalFormatting sqref="E5:E79">
    <cfRule type="expression" dxfId="4" priority="2">
      <formula>EXACT($E5,"Milestone")</formula>
    </cfRule>
    <cfRule type="expression" dxfId="3" priority="3">
      <formula>EXACT($E5,"Feature")</formula>
    </cfRule>
    <cfRule type="expression" dxfId="2" priority="4">
      <formula>EXACT($E5,"Fix")</formula>
    </cfRule>
    <cfRule type="expression" dxfId="1" priority="5">
      <formula>EXACT($E5,"Refactor")</formula>
    </cfRule>
    <cfRule type="expression" dxfId="0" priority="6">
      <formula>EXACT($E5,"Docs")</formula>
    </cfRule>
  </conditionalFormatting>
  <dataValidations count="1">
    <dataValidation type="list" allowBlank="1" sqref="E5:E79" xr:uid="{00000000-0002-0000-0700-000000000000}">
      <formula1>"Feature,Fix,Refactor,Docs,Milestone"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8B954"/>
  </sheetPr>
  <dimension ref="A1:BB31"/>
  <sheetViews>
    <sheetView showGridLines="0" zoomScale="27" zoomScaleNormal="100" workbookViewId="0">
      <selection activeCell="D5" sqref="D5"/>
    </sheetView>
  </sheetViews>
  <sheetFormatPr defaultColWidth="8.6640625" defaultRowHeight="14.4" x14ac:dyDescent="0.3"/>
  <cols>
    <col min="1" max="1" width="62.44140625" customWidth="1"/>
    <col min="2" max="2" width="43.77734375" customWidth="1"/>
    <col min="3" max="3" width="31.33203125" customWidth="1"/>
    <col min="4" max="4" width="79.109375" customWidth="1"/>
    <col min="5" max="5" width="10" customWidth="1"/>
    <col min="6" max="6" width="16" customWidth="1"/>
    <col min="7" max="7" width="12" customWidth="1"/>
    <col min="8" max="8" width="14" customWidth="1"/>
  </cols>
  <sheetData>
    <row r="1" spans="1:54" s="29" customFormat="1" ht="68.400000000000006" customHeight="1" x14ac:dyDescent="1.65">
      <c r="A1" s="28" t="s">
        <v>113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47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</row>
    <row r="2" spans="1:54" s="27" customFormat="1" ht="33.6" customHeight="1" x14ac:dyDescent="0.7">
      <c r="A2" s="26" t="s">
        <v>114</v>
      </c>
    </row>
    <row r="3" spans="1:54" s="30" customFormat="1" ht="45.6" customHeight="1" x14ac:dyDescent="0.5">
      <c r="A3" s="50" t="s">
        <v>115</v>
      </c>
      <c r="B3" s="50"/>
      <c r="C3" s="50"/>
      <c r="D3" s="50"/>
    </row>
    <row r="4" spans="1:54" s="32" customFormat="1" ht="31.2" customHeight="1" x14ac:dyDescent="0.6">
      <c r="A4" s="31" t="s">
        <v>116</v>
      </c>
      <c r="B4" s="31" t="s">
        <v>62</v>
      </c>
      <c r="C4" s="49" t="s">
        <v>127</v>
      </c>
      <c r="D4" s="49"/>
    </row>
    <row r="5" spans="1:54" ht="25.8" x14ac:dyDescent="0.5">
      <c r="A5" s="45" t="str">
        <f>"W"&amp;'4_Weekly_Sprints'!B5</f>
        <v>W1</v>
      </c>
      <c r="B5" s="34">
        <f>'4_Weekly_Sprints'!F5</f>
        <v>5</v>
      </c>
      <c r="C5" s="33" t="s">
        <v>65</v>
      </c>
      <c r="D5" s="35">
        <v>5</v>
      </c>
    </row>
    <row r="6" spans="1:54" ht="25.8" x14ac:dyDescent="0.5">
      <c r="A6" s="46" t="str">
        <f>"W"&amp;'4_Weekly_Sprints'!B6</f>
        <v>W2</v>
      </c>
      <c r="B6" s="37">
        <v>0</v>
      </c>
      <c r="C6" s="36" t="s">
        <v>33</v>
      </c>
      <c r="D6" s="38">
        <v>0</v>
      </c>
    </row>
    <row r="7" spans="1:54" ht="25.8" x14ac:dyDescent="0.5">
      <c r="A7" s="45" t="str">
        <f>"W"&amp;'4_Weekly_Sprints'!B7</f>
        <v>W3</v>
      </c>
      <c r="B7" s="34">
        <f>'4_Weekly_Sprints'!F7</f>
        <v>0</v>
      </c>
      <c r="C7" s="33" t="s">
        <v>37</v>
      </c>
      <c r="D7" s="35">
        <v>0</v>
      </c>
    </row>
    <row r="8" spans="1:54" ht="25.8" x14ac:dyDescent="0.5">
      <c r="A8" s="46" t="str">
        <f>"W"&amp;'4_Weekly_Sprints'!B8</f>
        <v>W4</v>
      </c>
      <c r="B8" s="37">
        <f>'4_Weekly_Sprints'!F8</f>
        <v>0</v>
      </c>
      <c r="C8" s="36" t="s">
        <v>117</v>
      </c>
      <c r="D8" s="38">
        <v>0</v>
      </c>
    </row>
    <row r="9" spans="1:54" ht="31.8" customHeight="1" x14ac:dyDescent="0.5">
      <c r="A9" s="45" t="str">
        <f>"W"&amp;'4_Weekly_Sprints'!B9</f>
        <v>W5</v>
      </c>
      <c r="B9" s="34">
        <f>'4_Weekly_Sprints'!F9</f>
        <v>0</v>
      </c>
      <c r="C9" s="48" t="s">
        <v>118</v>
      </c>
      <c r="D9" s="48"/>
    </row>
    <row r="10" spans="1:54" ht="28.8" customHeight="1" x14ac:dyDescent="0.5">
      <c r="A10" s="46" t="str">
        <f>"W"&amp;'4_Weekly_Sprints'!B10</f>
        <v>W6</v>
      </c>
      <c r="B10" s="37">
        <f>'4_Weekly_Sprints'!F10</f>
        <v>0</v>
      </c>
      <c r="C10" s="39" t="s">
        <v>61</v>
      </c>
      <c r="D10" s="39" t="s">
        <v>62</v>
      </c>
    </row>
    <row r="11" spans="1:54" ht="19.5" customHeight="1" x14ac:dyDescent="0.5">
      <c r="A11" s="45" t="str">
        <f>"W"&amp;'4_Weekly_Sprints'!B11</f>
        <v>W7</v>
      </c>
      <c r="B11" s="34">
        <f>'4_Weekly_Sprints'!F11</f>
        <v>0</v>
      </c>
      <c r="C11" s="33" t="s">
        <v>66</v>
      </c>
      <c r="D11" s="34">
        <f>SUMIF('3_Daily_Log'!$C$5:$C$297,"Research",'3_Daily_Log'!$D$5:$D$297)</f>
        <v>1</v>
      </c>
    </row>
    <row r="12" spans="1:54" ht="25.8" x14ac:dyDescent="0.5">
      <c r="A12" s="46" t="str">
        <f>"W"&amp;'4_Weekly_Sprints'!B12</f>
        <v>W8</v>
      </c>
      <c r="B12" s="37">
        <f>'4_Weekly_Sprints'!F12</f>
        <v>0</v>
      </c>
      <c r="C12" s="36" t="s">
        <v>64</v>
      </c>
      <c r="D12" s="37">
        <v>0</v>
      </c>
    </row>
    <row r="13" spans="1:54" ht="25.8" x14ac:dyDescent="0.5">
      <c r="A13" s="45" t="str">
        <f>"W"&amp;'4_Weekly_Sprints'!B13</f>
        <v>W9</v>
      </c>
      <c r="B13" s="34">
        <f>'4_Weekly_Sprints'!F13</f>
        <v>0</v>
      </c>
      <c r="C13" s="33" t="s">
        <v>119</v>
      </c>
      <c r="D13" s="34">
        <v>0</v>
      </c>
    </row>
    <row r="14" spans="1:54" ht="25.8" x14ac:dyDescent="0.5">
      <c r="A14" s="46" t="str">
        <f>"W"&amp;'4_Weekly_Sprints'!B14</f>
        <v>W10</v>
      </c>
      <c r="B14" s="37">
        <f>'4_Weekly_Sprints'!F14</f>
        <v>0</v>
      </c>
      <c r="C14" s="36" t="s">
        <v>120</v>
      </c>
      <c r="D14" s="37">
        <f>SUMIF('3_Daily_Log'!$C$5:$C$297,"Data Cleaning",'3_Daily_Log'!$D$5:$D$297)</f>
        <v>0</v>
      </c>
    </row>
    <row r="15" spans="1:54" ht="25.8" x14ac:dyDescent="0.5">
      <c r="A15" s="45" t="str">
        <f>"W"&amp;'4_Weekly_Sprints'!B15</f>
        <v>W11</v>
      </c>
      <c r="B15" s="34">
        <f>'4_Weekly_Sprints'!F15</f>
        <v>0</v>
      </c>
      <c r="C15" s="33" t="s">
        <v>121</v>
      </c>
      <c r="D15" s="34">
        <f>SUMIF('3_Daily_Log'!$C$5:$C$297,"NLP/ML",'3_Daily_Log'!$D$5:$D$297)</f>
        <v>0</v>
      </c>
    </row>
    <row r="16" spans="1:54" ht="25.8" x14ac:dyDescent="0.5">
      <c r="A16" s="46" t="str">
        <f>"W"&amp;'4_Weekly_Sprints'!B16</f>
        <v>W12</v>
      </c>
      <c r="B16" s="37">
        <f>'4_Weekly_Sprints'!F16</f>
        <v>0</v>
      </c>
      <c r="C16" s="36" t="s">
        <v>122</v>
      </c>
      <c r="D16" s="37">
        <f>SUMIF('3_Daily_Log'!$C$5:$C$297,"Dashboard/App",'3_Daily_Log'!$D$5:$D$297)</f>
        <v>0</v>
      </c>
    </row>
    <row r="17" spans="1:4" ht="25.8" x14ac:dyDescent="0.5">
      <c r="A17" s="45" t="str">
        <f>"W"&amp;'4_Weekly_Sprints'!B17</f>
        <v>W13</v>
      </c>
      <c r="B17" s="34">
        <f>'4_Weekly_Sprints'!F17</f>
        <v>0</v>
      </c>
      <c r="C17" s="33" t="s">
        <v>102</v>
      </c>
      <c r="D17" s="34">
        <f>SUMIF('3_Daily_Log'!$C$5:$C$297,"Testing",'3_Daily_Log'!$D$5:$D$297)</f>
        <v>0</v>
      </c>
    </row>
    <row r="18" spans="1:4" ht="25.8" x14ac:dyDescent="0.5">
      <c r="A18" s="46" t="str">
        <f>"W"&amp;'4_Weekly_Sprints'!B18</f>
        <v>W14</v>
      </c>
      <c r="B18" s="37">
        <f>'4_Weekly_Sprints'!F18</f>
        <v>0</v>
      </c>
      <c r="C18" s="36" t="s">
        <v>123</v>
      </c>
      <c r="D18" s="37">
        <f>SUMIF('3_Daily_Log'!$C$5:$C$297,"Documentation",'3_Daily_Log'!$D$5:$D$297)</f>
        <v>0.5</v>
      </c>
    </row>
    <row r="19" spans="1:4" ht="25.8" x14ac:dyDescent="0.5">
      <c r="A19" s="45" t="str">
        <f>"W"&amp;'4_Weekly_Sprints'!B19</f>
        <v>W15</v>
      </c>
      <c r="B19" s="34">
        <f>'4_Weekly_Sprints'!F19</f>
        <v>0</v>
      </c>
      <c r="C19" s="33" t="s">
        <v>68</v>
      </c>
      <c r="D19" s="34">
        <v>2</v>
      </c>
    </row>
    <row r="20" spans="1:4" ht="25.8" x14ac:dyDescent="0.5">
      <c r="A20" s="46" t="str">
        <f>"W"&amp;'4_Weekly_Sprints'!B20</f>
        <v>W16</v>
      </c>
      <c r="B20" s="37">
        <f>'4_Weekly_Sprints'!F20</f>
        <v>0</v>
      </c>
      <c r="C20" s="36" t="s">
        <v>124</v>
      </c>
      <c r="D20" s="37">
        <f>SUMIF('3_Daily_Log'!$C$5:$C$297,"Meeting/Review",'3_Daily_Log'!$D$5:$D$297)</f>
        <v>0</v>
      </c>
    </row>
    <row r="21" spans="1:4" ht="25.8" x14ac:dyDescent="0.5">
      <c r="A21" s="45" t="str">
        <f>"W"&amp;'4_Weekly_Sprints'!B21</f>
        <v>W17</v>
      </c>
      <c r="B21" s="34">
        <f>'4_Weekly_Sprints'!F21</f>
        <v>0</v>
      </c>
      <c r="C21" s="33" t="s">
        <v>125</v>
      </c>
      <c r="D21" s="34">
        <f>SUMIF('3_Daily_Log'!$C$5:$C$297,"Other",'3_Daily_Log'!$D$5:$D$297)</f>
        <v>0</v>
      </c>
    </row>
    <row r="22" spans="1:4" ht="50.4" customHeight="1" x14ac:dyDescent="0.3">
      <c r="A22" s="50" t="s">
        <v>126</v>
      </c>
      <c r="B22" s="50"/>
      <c r="C22" s="50"/>
      <c r="D22" s="50"/>
    </row>
    <row r="23" spans="1:4" ht="30.6" customHeight="1" x14ac:dyDescent="0.3">
      <c r="A23" s="40" t="s">
        <v>20</v>
      </c>
      <c r="B23" s="40" t="s">
        <v>22</v>
      </c>
    </row>
    <row r="24" spans="1:4" ht="33.6" x14ac:dyDescent="0.65">
      <c r="A24" s="41" t="str">
        <f>'2_Roadmap'!B5</f>
        <v>Research &amp; Planning</v>
      </c>
      <c r="B24" s="42">
        <f>'2_Roadmap'!F5</f>
        <v>0.15</v>
      </c>
    </row>
    <row r="25" spans="1:4" ht="33.6" x14ac:dyDescent="0.65">
      <c r="A25" s="43" t="str">
        <f>'2_Roadmap'!B6</f>
        <v>Dataset Collection</v>
      </c>
      <c r="B25" s="44">
        <v>0</v>
      </c>
    </row>
    <row r="26" spans="1:4" ht="33.6" x14ac:dyDescent="0.65">
      <c r="A26" s="41" t="str">
        <f>'2_Roadmap'!B7</f>
        <v>Data Cleaning &amp; Preprocessing</v>
      </c>
      <c r="B26" s="42">
        <f>'2_Roadmap'!F7</f>
        <v>0</v>
      </c>
    </row>
    <row r="27" spans="1:4" ht="33.6" x14ac:dyDescent="0.65">
      <c r="A27" s="43" t="str">
        <f>'2_Roadmap'!B8</f>
        <v>NLP Sentiment Analysis</v>
      </c>
      <c r="B27" s="44">
        <f>'2_Roadmap'!F8</f>
        <v>0</v>
      </c>
    </row>
    <row r="28" spans="1:4" ht="33.6" x14ac:dyDescent="0.65">
      <c r="A28" s="41" t="str">
        <f>'2_Roadmap'!B9</f>
        <v>Model Training &amp; Evaluation</v>
      </c>
      <c r="B28" s="42">
        <f>'2_Roadmap'!F9</f>
        <v>0</v>
      </c>
    </row>
    <row r="29" spans="1:4" ht="33.6" x14ac:dyDescent="0.65">
      <c r="A29" s="43" t="str">
        <f>'2_Roadmap'!B10</f>
        <v>Dashboard / App Development</v>
      </c>
      <c r="B29" s="44">
        <f>'2_Roadmap'!F10</f>
        <v>0</v>
      </c>
    </row>
    <row r="30" spans="1:4" ht="33.6" x14ac:dyDescent="0.65">
      <c r="A30" s="41" t="str">
        <f>'2_Roadmap'!B11</f>
        <v>Testing &amp; Documentation</v>
      </c>
      <c r="B30" s="42">
        <f>'2_Roadmap'!F11</f>
        <v>0</v>
      </c>
    </row>
    <row r="31" spans="1:4" ht="33.6" x14ac:dyDescent="0.65">
      <c r="A31" s="43" t="str">
        <f>'2_Roadmap'!B12</f>
        <v>Final PPT &amp; Viva Prep</v>
      </c>
      <c r="B31" s="44">
        <f>'2_Roadmap'!F12</f>
        <v>0</v>
      </c>
    </row>
  </sheetData>
  <mergeCells count="4">
    <mergeCell ref="C9:D9"/>
    <mergeCell ref="C4:D4"/>
    <mergeCell ref="A3:D3"/>
    <mergeCell ref="A22:D2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1_Dashboard</vt:lpstr>
      <vt:lpstr>2_Roadmap</vt:lpstr>
      <vt:lpstr>3_Daily_Log</vt:lpstr>
      <vt:lpstr>4_Weekly_Sprints</vt:lpstr>
      <vt:lpstr>5_Skills_Tracker</vt:lpstr>
      <vt:lpstr>6_Datasets_APIs</vt:lpstr>
      <vt:lpstr>7_Bug_Tracker</vt:lpstr>
      <vt:lpstr>8_GitHub_Tracker</vt:lpstr>
      <vt:lpstr>9_Analytics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gondaliya</cp:lastModifiedBy>
  <cp:revision>1</cp:revision>
  <dcterms:created xsi:type="dcterms:W3CDTF">2026-06-21T16:34:40Z</dcterms:created>
  <dcterms:modified xsi:type="dcterms:W3CDTF">2026-06-22T18:14:22Z</dcterms:modified>
  <dc:language>en-US</dc:language>
</cp:coreProperties>
</file>